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3f96057c4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89a47dece14a20"/>
    <x:sheet xmlns:r="http://schemas.openxmlformats.org/officeDocument/2006/relationships" name="Rekening" sheetId="2" r:id="R40a7e6c9cd704acf"/>
    <x:sheet xmlns:r="http://schemas.openxmlformats.org/officeDocument/2006/relationships" name="Transaksi" sheetId="3" r:id="Reb682def04ad45dd"/>
    <x:sheet xmlns:r="http://schemas.openxmlformats.org/officeDocument/2006/relationships" name="Transaksi - Arsip sebelum Perio" sheetId="4" r:id="R89034417fd1a4c69"/>
    <x:sheet xmlns:r="http://schemas.openxmlformats.org/officeDocument/2006/relationships" name="Rekening - Arsip sebelum Period" sheetId="5" r:id="R730ab2e179aa46bb"/>
  </x:sheets>
</x:workbook>
</file>

<file path=xl/sharedStrings.xml><?xml version="1.0" encoding="utf-8"?>
<x:sst xmlns:x="http://schemas.openxmlformats.org/spreadsheetml/2006/main">
  <x:si>
    <x:t xml:space="preserve">Rekening</x:t>
  </x:si>
  <x:si>
    <x:t xml:space="preserve">Saldo</x:t>
  </x:si>
  <x:si>
    <x:t xml:space="preserve">BCA</x:t>
  </x:si>
  <x:si>
    <x:t xml:space="preserve">GOPAY</x:t>
  </x:si>
  <x:si>
    <x:t xml:space="preserve">QRIS</x:t>
  </x:si>
  <x:si>
    <x:t xml:space="preserve">SUPERBANK</x:t>
  </x:si>
  <x:si>
    <x:t xml:space="preserve">Transfer</x:t>
  </x:si>
  <x:si>
    <x:t xml:space="preserve">Cash</x:t>
  </x:si>
  <x:si>
    <x:t xml:space="preserve">DANA</x:t>
  </x:si>
  <x:si>
    <x:t xml:space="preserve">Timestamp</x:t>
  </x:si>
  <x:si>
    <x:t xml:space="preserve">Session</x:t>
  </x:si>
  <x:si>
    <x:t xml:space="preserve">From</x:t>
  </x:si>
  <x:si>
    <x:t xml:space="preserve">Pesan</x:t>
  </x:si>
  <x:si>
    <x:t xml:space="preserve">Kategori</x:t>
  </x:si>
  <x:si>
    <x:t xml:space="preserve">Jumlah</x:t>
  </x:si>
  <x:si>
    <x:t xml:space="preserve">Tipe</x:t>
  </x:si>
  <x:si>
    <x:t xml:space="preserve">Message ID</x:t>
  </x:si>
  <x:si>
    <x:t xml:space="preserve">Status</x:t>
  </x:si>
  <x:si>
    <x:t xml:space="preserve">Cancelled At</x:t>
  </x:si>
  <x:si>
    <x:t xml:space="preserve">jOOdDEGonBPCQGOjYKolqI1mQSk2</x:t>
  </x:si>
  <x:si>
    <x:t xml:space="preserve">Masuk gaji 2690000 bca</x:t>
  </x:si>
  <x:si>
    <x:t xml:space="preserve">Gaji</x:t>
  </x:si>
  <x:si>
    <x:t xml:space="preserve">Masuk</x:t>
  </x:si>
  <x:si>
    <x:t xml:space="preserve">3A3D0DBBF225C1239FFE</x:t>
  </x:si>
  <x:si>
    <x:t xml:space="preserve">Tersimpan</x:t>
  </x:si>
  <x:si>
    <x:t xml:space="preserve">Belanja sayuran 80000 bca</x:t>
  </x:si>
  <x:si>
    <x:t xml:space="preserve">Belanja</x:t>
  </x:si>
  <x:si>
    <x:t xml:space="preserve">Keluar</x:t>
  </x:si>
  <x:si>
    <x:t xml:space="preserve">3A0FB7D902FBA49A4F0F</x:t>
  </x:si>
  <x:si>
    <x:t xml:space="preserve">Dibatalkan</x:t>
  </x:si>
  <x:si>
    <x:t xml:space="preserve">3A53390C2ED5CAC88AF0</x:t>
  </x:si>
  <x:si>
    <x:t xml:space="preserve">Bayar kosan 1100000 Bca</x:t>
  </x:si>
  <x:si>
    <x:t xml:space="preserve">Lainnya</x:t>
  </x:si>
  <x:si>
    <x:t xml:space="preserve">3AD57F227A9342B4293F</x:t>
  </x:si>
  <x:si>
    <x:t xml:space="preserve">Bayar dana cicil 338320 Bca</x:t>
  </x:si>
  <x:si>
    <x:t xml:space="preserve">3B571C914D9243F372DE</x:t>
  </x:si>
  <x:si>
    <x:t xml:space="preserve">Masuk uang 350000 BCA</x:t>
  </x:si>
  <x:si>
    <x:t xml:space="preserve">Pemasukan</x:t>
  </x:si>
  <x:si>
    <x:t xml:space="preserve">3B311C0C6481F66B270B</x:t>
  </x:si>
  <x:si>
    <x:t xml:space="preserve">Masuk uang macbook 350000 BCA</x:t>
  </x:si>
  <x:si>
    <x:t xml:space="preserve">3B5E0B0C85FAA0778C16</x:t>
  </x:si>
  <x:si>
    <x:t xml:space="preserve">Beli Token Listrik 100000 BCA</x:t>
  </x:si>
  <x:si>
    <x:t xml:space="preserve">Tagihan</x:t>
  </x:si>
  <x:si>
    <x:t xml:space="preserve">3B5CBFF1207459F093AA</x:t>
  </x:si>
  <x:si>
    <x:t xml:space="preserve">Beli terea 68000</x:t>
  </x:si>
  <x:si>
    <x:t xml:space="preserve">3A616E4F7A2E250E02ED</x:t>
  </x:si>
  <x:si>
    <x:t xml:space="preserve">Beli terea 68000 BCA</x:t>
  </x:si>
  <x:si>
    <x:t xml:space="preserve">3A827795473BB2AF85EA</x:t>
  </x:si>
  <x:si>
    <x:t xml:space="preserve">Beli bensin 52000 BCA</x:t>
  </x:si>
  <x:si>
    <x:t xml:space="preserve">Transport</x:t>
  </x:si>
  <x:si>
    <x:t xml:space="preserve">3AD562B0304B08A59B7E</x:t>
  </x:si>
  <x:si>
    <x:t xml:space="preserve">Makan nasi 15000 BCA</x:t>
  </x:si>
  <x:si>
    <x:t xml:space="preserve">Makan</x:t>
  </x:si>
  <x:si>
    <x:t xml:space="preserve">3A3BE2354C44106E5C89</x:t>
  </x:si>
  <x:si>
    <x:t xml:space="preserve">Bayar Internet 259575 BCA</x:t>
  </x:si>
  <x:si>
    <x:t xml:space="preserve">3B657D59179DE67E5BE0</x:t>
  </x:si>
  <x:si>
    <x:t xml:space="preserve">Transfer faizah 60000 BCA</x:t>
  </x:si>
  <x:si>
    <x:t xml:space="preserve">3A39B0B2F4F1DA936D44</x:t>
  </x:si>
  <x:si>
    <x:t xml:space="preserve">Beli jajanan 10000</x:t>
  </x:si>
  <x:si>
    <x:t xml:space="preserve">3A6794CE2E5C32D73E1D</x:t>
  </x:si>
  <x:si>
    <x:t xml:space="preserve">Masuk 60000</x:t>
  </x:si>
  <x:si>
    <x:t xml:space="preserve">3AF071EE9E8CA83158F7</x:t>
  </x:si>
  <x:si>
    <x:t xml:space="preserve">3A3D6D651068CCAEE68F</x:t>
  </x:si>
  <x:si>
    <x:t xml:space="preserve">Masuk uang 150000 BCS</x:t>
  </x:si>
  <x:si>
    <x:t xml:space="preserve">3A017EA08EB94A64126F</x:t>
  </x:si>
  <x:si>
    <x:t xml:space="preserve">Masuk uang 150000 BCA</x:t>
  </x:si>
  <x:si>
    <x:t xml:space="preserve">3A22B3BACAEC8D930FD4</x:t>
  </x:si>
  <x:si>
    <x:t xml:space="preserve">Beli makan 15000</x:t>
  </x:si>
  <x:si>
    <x:t xml:space="preserve">3A547144C86AC49BA57D</x:t>
  </x:si>
  <x:si>
    <x:t xml:space="preserve">Masuk uang 200000 bca</x:t>
  </x:si>
  <x:si>
    <x:t xml:space="preserve">3A7231C5B828C914379B</x:t>
  </x:si>
  <x:si>
    <x:t xml:space="preserve">Bayar dana cicil 75000</x:t>
  </x:si>
  <x:si>
    <x:t xml:space="preserve">3A172A0404B0B4393D53</x:t>
  </x:si>
  <x:si>
    <x:t xml:space="preserve">3AB5A85E3D249516421F</x:t>
  </x:si>
  <x:si>
    <x:t xml:space="preserve">Beli makan 18000</x:t>
  </x:si>
  <x:si>
    <x:t xml:space="preserve">3A1441159F6786FA0163</x:t>
  </x:si>
  <x:si>
    <x:t xml:space="preserve">CODEX_RESTORE_200000_BCA_20260804</x:t>
  </x:si>
  <x:si>
    <x:t xml:space="preserve">Bayar dana cicil 75000 BCA</x:t>
  </x:si>
  <x:si>
    <x:t xml:space="preserve">3A399ECF5AE7E50EFFA0</x:t>
  </x:si>
  <x:si>
    <x:t xml:space="preserve">CODEX_RESTORE_200000_BCA_20260804_FINAL</x:t>
  </x:si>
  <x:si>
    <x:t xml:space="preserve">Beli pisang 10000</x:t>
  </x:si>
  <x:si>
    <x:t xml:space="preserve">3A314A0568DE0470DA75</x:t>
  </x:si>
  <x:si>
    <x:t xml:space="preserve">Beli aqua 6000</x:t>
  </x:si>
  <x:si>
    <x:t xml:space="preserve">3A17F43C5CE265B89DB0</x:t>
  </x:si>
  <x:si>
    <x:t xml:space="preserve">Makan nasi dua bungkus 40000</x:t>
  </x:si>
  <x:si>
    <x:t xml:space="preserve">3A59CEEA4B2DDF838EC7</x:t>
  </x:si>
  <x:si>
    <x:t xml:space="preserve">Makan mie ayam 15000</x:t>
  </x:si>
  <x:si>
    <x:t xml:space="preserve">3ADD94A4888936D223C4</x:t>
  </x:si>
  <x:si>
    <x:t xml:space="preserve">Makan risol 10000</x:t>
  </x:si>
  <x:si>
    <x:t xml:space="preserve">3AA58D0B69E88CEEECEC</x:t>
  </x:si>
  <x:si>
    <x:t xml:space="preserve">Belanja sayur 60000</x:t>
  </x:si>
  <x:si>
    <x:t xml:space="preserve">3A908AABF5711D45CB85</x:t>
  </x:si>
  <x:si>
    <x:t xml:space="preserve">Belanja baju 300000 BCA</x:t>
  </x:si>
  <x:si>
    <x:t xml:space="preserve">3AC4A66483C1DECA2EF8</x:t>
  </x:si>
  <x:si>
    <x:t xml:space="preserve">Beli gacoan 20000</x:t>
  </x:si>
  <x:si>
    <x:t xml:space="preserve">3A9F2894719C112967CE</x:t>
  </x:si>
  <x:si>
    <x:t xml:space="preserve">Beli bensin 20000</x:t>
  </x:si>
  <x:si>
    <x:t xml:space="preserve">3ADB24998F3B2978EF6B</x:t>
  </x:si>
  <x:si>
    <x:t xml:space="preserve">Beli minuman chagee 129000 BCA</x:t>
  </x:si>
  <x:si>
    <x:t xml:space="preserve">3A6633CBC5A7DE7342CC</x:t>
  </x:si>
  <x:si>
    <x:t xml:space="preserve">Beli gorengan 20000</x:t>
  </x:si>
  <x:si>
    <x:t xml:space="preserve">3A2EBF8B3863C8A23A61</x:t>
  </x:si>
  <x:si>
    <x:t xml:space="preserve">Belanja sayuran 102000 BCA</x:t>
  </x:si>
  <x:si>
    <x:t xml:space="preserve">3A71A703C5682E7B6AB2</x:t>
  </x:si>
  <x:si>
    <x:t xml:space="preserve">Beli makan 20000</x:t>
  </x:si>
  <x:si>
    <x:t xml:space="preserve">3AB524D9D72232BE1546</x:t>
  </x:si>
  <x:si>
    <x:t xml:space="preserve">Bayar parkir 13000</x:t>
  </x:si>
  <x:si>
    <x:t xml:space="preserve">3ACB72CA014905FDF010</x:t>
  </x:si>
  <x:si>
    <x:t xml:space="preserve">Beli bensin 50000</x:t>
  </x:si>
  <x:si>
    <x:t xml:space="preserve">3A7B332DC685711AB5D4</x:t>
  </x:si>
  <x:si>
    <x:t xml:space="preserve">Beli batagor 15000</x:t>
  </x:si>
  <x:si>
    <x:t xml:space="preserve">3BBF75B8210EF308631D</x:t>
  </x:si>
  <x:si>
    <x:t xml:space="preserve">Makan roti gembul 41000</x:t>
  </x:si>
  <x:si>
    <x:t xml:space="preserve">3BACE4EB736B0009E663</x:t>
  </x:si>
  <x:si>
    <x:t xml:space="preserve">Bypas
Plastik jualan 5</x:t>
  </x:si>
  <x:si>
    <x:t xml:space="preserve">3ABC8D93D47B6B3C29CF</x:t>
  </x:si>
  <x:si>
    <x:t xml:space="preserve">3AFBEE2466950C61C5CB</x:t>
  </x:si>
  <x:si>
    <x:t xml:space="preserve">Makan 50000</x:t>
  </x:si>
  <x:si>
    <x:t xml:space="preserve">3AB03A7481F3C5865CD9</x:t>
  </x:si>
  <x:si>
    <x:t xml:space="preserve">3A5A4AD49F40724C2FA4</x:t>
  </x:si>
  <x:si>
    <x:t xml:space="preserve">Belanja 50000</x:t>
  </x:si>
  <x:si>
    <x:t xml:space="preserve">3A9B59781A9C6CF357E1</x:t>
  </x:si>
  <x:si>
    <x:t xml:space="preserve">3A140B8928DA23E3148A</x:t>
  </x:si>
  <x:si>
    <x:t xml:space="preserve">masuk uang 160000 BCA</x:t>
  </x:si>
  <x:si>
    <x:t xml:space="preserve">3BE32DFDC9423F50BAC1</x:t>
  </x:si>
  <x:si>
    <x:t xml:space="preserve">bayar imei 140000 BCA</x:t>
  </x:si>
  <x:si>
    <x:t xml:space="preserve">3B7F9CF443355A171062</x:t>
  </x:si>
  <x:si>
    <x:t xml:space="preserve">Beli air isi ulang 40000</x:t>
  </x:si>
  <x:si>
    <x:t xml:space="preserve">3B8DA8516EAF4A04A755</x:t>
  </x:si>
  <x:si>
    <x:t xml:space="preserve">Makan ceker 11000 BCA</x:t>
  </x:si>
  <x:si>
    <x:t xml:space="preserve">3B4581D2548DE8246743</x:t>
  </x:si>
  <x:si>
    <x:t xml:space="preserve">Beli kopi 25rb qris</x:t>
  </x:si>
  <x:si>
    <x:t xml:space="preserve">3AF42CD316451196DB3C</x:t>
  </x:si>
  <x:si>
    <x:t xml:space="preserve">Beli pulsa 35000 BCA</x:t>
  </x:si>
  <x:si>
    <x:t xml:space="preserve">3AD1D75547CF6DE44CB7</x:t>
  </x:si>
  <x:si>
    <x:t xml:space="preserve">Masuk uang imei 300000</x:t>
  </x:si>
  <x:si>
    <x:t xml:space="preserve">3AA10A32B32A83145302</x:t>
  </x:si>
  <x:si>
    <x:t xml:space="preserve">Masuk uang imei 300000 BCA</x:t>
  </x:si>
  <x:si>
    <x:t xml:space="preserve">3AAAE3FD096D3CCB2485</x:t>
  </x:si>
  <x:si>
    <x:t xml:space="preserve">Bayar imei 280000 BCA</x:t>
  </x:si>
  <x:si>
    <x:t xml:space="preserve">3A2FD207F61B44F14066</x:t>
  </x:si>
  <x:si>
    <x:t xml:space="preserve">Masuk 60.000</x:t>
  </x:si>
  <x:si>
    <x:t xml:space="preserve">3A5389929E91B639435D</x:t>
  </x:si>
  <x:si>
    <x:t xml:space="preserve">Beli sayur 70000</x:t>
  </x:si>
  <x:si>
    <x:t xml:space="preserve">3A4FCC6BA870E5570526</x:t>
  </x:si>
  <x:si>
    <x:t xml:space="preserve">Beli es teler 10000 bca</x:t>
  </x:si>
  <x:si>
    <x:t xml:space="preserve">3AA54553166E17ABEAD0</x:t>
  </x:si>
  <x:si>
    <x:t xml:space="preserve">Beli makan mi ayam 10000 bca</x:t>
  </x:si>
  <x:si>
    <x:t xml:space="preserve">3A7105B08CA56A03604D</x:t>
  </x:si>
  <x:si>
    <x:t xml:space="preserve">Beli di indomaret 12.000</x:t>
  </x:si>
  <x:si>
    <x:t xml:space="preserve">3A246D140BBFB8B76D26</x:t>
  </x:si>
  <x:si>
    <x:t xml:space="preserve">Masuk 100000</x:t>
  </x:si>
  <x:si>
    <x:t xml:space="preserve">3A0BD58C86BAA9B706E6</x:t>
  </x:si>
  <x:si>
    <x:t xml:space="preserve">Belanja 60000</x:t>
  </x:si>
  <x:si>
    <x:t xml:space="preserve">3AA21F85A9BF89E55B29</x:t>
  </x:si>
  <x:si>
    <x:t xml:space="preserve">Beli kebab 44.000</x:t>
  </x:si>
  <x:si>
    <x:t xml:space="preserve">3AA30DEB20B731D432A8</x:t>
  </x:si>
  <x:si>
    <x:t xml:space="preserve">3A73717C19ED31752FBE</x:t>
  </x:si>
  <x:si>
    <x:t xml:space="preserve">Masuk 66000 bca</x:t>
  </x:si>
  <x:si>
    <x:t xml:space="preserve">3A6A1F06A01C88616C2C</x:t>
  </x:si>
  <x:si>
    <x:t xml:space="preserve">Bayar sampah 50000 bca</x:t>
  </x:si>
  <x:si>
    <x:t xml:space="preserve">3AAB716F5EEC475F4059</x:t>
  </x:si>
  <x:si>
    <x:t xml:space="preserve">Masuk dana 373940 Superbank</x:t>
  </x:si>
  <x:si>
    <x:t xml:space="preserve">3ACFB3C3241D5FAA9095</x:t>
  </x:si>
  <x:si>
    <x:t xml:space="preserve">Masuk dana 373840 Superbank</x:t>
  </x:si>
  <x:si>
    <x:t xml:space="preserve">3AC76F2DB8893E37F73F</x:t>
  </x:si>
  <x:si>
    <x:t xml:space="preserve">Bayar domain 190181,64 Suoerbank</x:t>
  </x:si>
  <x:si>
    <x:t xml:space="preserve">3AAC6E3177F81A4E125A</x:t>
  </x:si>
  <x:si>
    <x:t xml:space="preserve">Bayar domain 190181,64 Superbank</x:t>
  </x:si>
  <x:si>
    <x:t xml:space="preserve">3AE4F981261366C65A6B</x:t>
  </x:si>
  <x:si>
    <x:t xml:space="preserve">Beli sayur 40000</x:t>
  </x:si>
  <x:si>
    <x:t xml:space="preserve">3A75674B2C0569351D5B</x:t>
  </x:si>
  <x:si>
    <x:t xml:space="preserve">3AB07ABCB0E1EF200601</x:t>
  </x:si>
  <x:si>
    <x:t xml:space="preserve">Beli bensin 40000</x:t>
  </x:si>
  <x:si>
    <x:t xml:space="preserve">3A715869A8B125EAA9A6</x:t>
  </x:si>
  <x:si>
    <x:t xml:space="preserve">Beli nasi kuning 10000</x:t>
  </x:si>
  <x:si>
    <x:t xml:space="preserve">3AA2EC425DAEC49E774F</x:t>
  </x:si>
</x:sst>
</file>

<file path=xl/styles.xml><?xml version="1.0" encoding="utf-8"?>
<x:styleSheet xmlns:x="http://schemas.openxmlformats.org/spreadsheetml/2006/main">
  <x:numFmts count="7">
    <x:numFmt numFmtId="164" formatCode="m/d/yyyy h:mm:ss"/>
    <x:numFmt numFmtId="200" formatCode="mmm yyyy"/>
    <x:numFmt numFmtId="201" formatCode="d mmm"/>
    <x:numFmt numFmtId="202" formatCode="#,##0"/>
    <x:numFmt numFmtId="203" formatCode="Rp #,##0"/>
    <x:numFmt numFmtId="204" formatCode="0.0%"/>
    <x:numFmt numFmtId="205" formatCode="0"/>
  </x:numFmts>
  <x:fonts count="22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b/>
      <x:color theme="1"/>
      <x:name val="Arial"/>
    </x:font>
    <x:font>
      <x:sz val="10"/>
      <x:color rgb="FF233022"/>
      <x:name val="Calibri"/>
    </x:font>
    <x:font>
      <x:b/>
      <x:sz val="13"/>
      <x:color rgb="FFFFFFFF"/>
      <x:name val="Calibri"/>
    </x:font>
    <x:font>
      <x:b/>
      <x:sz val="18"/>
      <x:color rgb="FF173E25"/>
      <x:name val="Calibri"/>
    </x:font>
    <x:font>
      <x:i/>
      <x:sz val="9"/>
      <x:color rgb="FF607363"/>
      <x:name val="Calibri"/>
    </x:font>
    <x:font>
      <x:b/>
      <x:sz val="11"/>
      <x:color rgb="FF18351F"/>
      <x:name val="Calibri"/>
    </x:font>
    <x:font>
      <x:b/>
      <x:sz val="9"/>
      <x:color rgb="FF2F6B34"/>
      <x:name val="Calibri"/>
    </x:font>
    <x:font>
      <x:b/>
      <x:sz val="9"/>
      <x:color rgb="FFFFFFFF"/>
      <x:name val="Calibri"/>
    </x:font>
    <x:font>
      <x:sz val="8"/>
      <x:color rgb="FF7B7B7B"/>
      <x:name val="Arial"/>
    </x:font>
    <x:font>
      <x:b/>
      <x:sz val="9"/>
      <x:color rgb="FF2C5D31"/>
      <x:name val="Calibri"/>
    </x:font>
    <x:font>
      <x:b/>
      <x:sz val="12"/>
      <x:color rgb="FF15803D"/>
      <x:name val="Calibri"/>
    </x:font>
    <x:font>
      <x:sz val="8"/>
      <x:color rgb="FF728072"/>
      <x:name val="Calibri"/>
    </x:font>
    <x:font>
      <x:b/>
      <x:sz val="9"/>
      <x:color rgb="FF273428"/>
      <x:name val="Calibri"/>
    </x:font>
    <x:font>
      <x:sz val="9"/>
      <x:color rgb="FF273428"/>
      <x:name val="Calibri"/>
    </x:font>
    <x:font>
      <x:b/>
      <x:sz val="8"/>
      <x:color rgb="FF607363"/>
      <x:name val="Calibri"/>
    </x:font>
    <x:font>
      <x:b/>
      <x:sz val="16"/>
      <x:color rgb="FF12351E"/>
      <x:name val="Calibri"/>
    </x:font>
    <x:font>
      <x:b/>
      <x:sz val="8"/>
      <x:color rgb="FF273428"/>
      <x:name val="Calibri"/>
    </x:font>
    <x:font>
      <x:sz val="8"/>
      <x:color rgb="FF273428"/>
      <x:name val="Calibri"/>
    </x:font>
    <x:font>
      <x:b/>
      <x:sz val="8"/>
      <x:color rgb="FF2C5D31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4A90D9"/>
      </x:patternFill>
    </x:fill>
    <x:fill>
      <x:patternFill patternType="solid">
        <x:fgColor rgb="FFF6F7F3"/>
      </x:patternFill>
    </x:fill>
    <x:fill>
      <x:patternFill patternType="solid">
        <x:fgColor rgb="FF0F5B2E"/>
      </x:patternFill>
    </x:fill>
    <x:fill>
      <x:patternFill patternType="solid">
        <x:fgColor rgb="FFFFFFFF"/>
      </x:patternFill>
    </x:fill>
    <x:fill>
      <x:patternFill patternType="solid">
        <x:fgColor rgb="FFEAF3E3"/>
      </x:patternFill>
    </x:fill>
    <x:fill>
      <x:patternFill patternType="solid">
        <x:fgColor rgb="FFE5EFE0"/>
      </x:patternFill>
    </x:fill>
  </x:fills>
  <x:borders count="10">
    <x:border/>
    <x:border>
      <x:left style="thin">
        <x:color rgb="FFD9E5D6"/>
      </x:left>
      <x:top style="thin">
        <x:color rgb="FFD9E5D6"/>
      </x:top>
    </x:border>
    <x:border>
      <x:top style="thin">
        <x:color rgb="FFD9E5D6"/>
      </x:top>
    </x:border>
    <x:border>
      <x:right style="thin">
        <x:color rgb="FFD9E5D6"/>
      </x:right>
      <x:top style="thin">
        <x:color rgb="FFD9E5D6"/>
      </x:top>
    </x:border>
    <x:border>
      <x:left style="thin">
        <x:color rgb="FFD9E5D6"/>
      </x:left>
    </x:border>
    <x:border>
      <x:right style="thin">
        <x:color rgb="FFD9E5D6"/>
      </x:right>
    </x:border>
    <x:border>
      <x:left style="thin">
        <x:color rgb="FFD9E5D6"/>
      </x:left>
      <x:bottom style="thin">
        <x:color rgb="FFD9E5D6"/>
      </x:bottom>
    </x:border>
    <x:border>
      <x:bottom style="thin">
        <x:color rgb="FFD9E5D6"/>
      </x:bottom>
    </x:border>
    <x:border>
      <x:right style="thin">
        <x:color rgb="FFD9E5D6"/>
      </x:right>
      <x:bottom style="thin">
        <x:color rgb="FFD9E5D6"/>
      </x:bottom>
    </x:border>
    <x:border>
      <x:bottom style="thin">
        <x:color rgb="FFE7ECE4"/>
      </x:bottom>
    </x:border>
  </x:borders>
  <x:cellStyleXfs count="1">
    <x:xf numFmtId="0" fontId="0" fillId="0" borderId="0" applyFont="1" applyAlignment="1"/>
  </x:cellStyleXfs>
  <x:cellXfs count="14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2" fillId="0" borderId="0" xfId="0" applyFont="1" applyAlignment="1"/>
    <x:xf numFmtId="0" fontId="2" fillId="0" borderId="0" xfId="0" applyFont="1" applyAlignment="1"/>
    <x:xf numFmtId="0" fontId="3" fillId="0" borderId="0" xfId="0" applyFont="1" applyAlignment="1">
      <x:alignment horizontal="left" vertical="center" wrapText="0"/>
    </x:xf>
    <x:xf numFmtId="164" fontId="2" fillId="0" borderId="0" xfId="0" applyNumberFormat="1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14" fontId="2" fillId="0" borderId="0" xfId="0" applyNumberFormat="1" applyFont="1" applyAlignment="1">
      <x:alignment vertical="center" wrapText="0"/>
    </x:xf>
    <x:xf numFmtId="164" fontId="2" fillId="0" borderId="0" xfId="0" applyNumberFormat="1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0" fontId="2" fillId="0" borderId="0" xfId="0" applyFont="1" applyAlignment="1">
      <x:alignment vertical="center" wrapText="0"/>
    </x:xf>
    <x:xf numFmtId="14" fontId="2" fillId="0" borderId="0" xfId="0" applyNumberFormat="1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 wrapText="0"/>
    </x:xf>
    <x:xf numFmtId="164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14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horizontal="left" vertical="bottom" wrapText="0"/>
    </x:xf>
    <x:xf numFmtId="0" fontId="5" fillId="4" borderId="0" xfId="0" applyNumberFormat="1" applyFont="1" applyFill="1" applyBorder="1" applyAlignment="1">
      <x:alignment horizontal="left" vertical="center" wrapText="0"/>
    </x:xf>
    <x:xf numFmtId="0" fontId="6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horizontal="right" vertical="bottom" wrapText="0"/>
    </x:xf>
    <x:xf numFmtId="0" fontId="7" fillId="3" borderId="0" xfId="0" applyNumberFormat="1" applyFont="1" applyFill="1" applyBorder="1" applyAlignment="1">
      <x:alignment horizontal="right" vertical="center" wrapText="0"/>
    </x:xf>
    <x:xf numFmtId="0" fontId="4" fillId="5" borderId="0" xfId="0" applyNumberFormat="1" applyFont="1" applyFill="1" applyBorder="1" applyAlignment="1">
      <x:alignment vertical="bottom" wrapText="0"/>
    </x:xf>
    <x:xf numFmtId="0" fontId="8" fillId="5" borderId="0" xfId="0" applyNumberFormat="1" applyFont="1" applyFill="1" applyBorder="1" applyAlignment="1">
      <x:alignment vertical="bottom" wrapText="0"/>
    </x:xf>
    <x:xf numFmtId="0" fontId="8" fillId="5" borderId="1" xfId="0" applyNumberFormat="1" applyFont="1" applyFill="1" applyBorder="1" applyAlignment="1">
      <x:alignment vertical="bottom" wrapText="0"/>
    </x:xf>
    <x:xf numFmtId="0" fontId="8" fillId="5" borderId="2" xfId="0" applyNumberFormat="1" applyFont="1" applyFill="1" applyBorder="1" applyAlignment="1">
      <x:alignment vertical="bottom" wrapText="0"/>
    </x:xf>
    <x:xf numFmtId="0" fontId="8" fillId="5" borderId="3" xfId="0" applyNumberFormat="1" applyFont="1" applyFill="1" applyBorder="1" applyAlignment="1">
      <x:alignment vertical="bottom" wrapText="0"/>
    </x:xf>
    <x:xf numFmtId="0" fontId="8" fillId="5" borderId="4" xfId="0" applyNumberFormat="1" applyFont="1" applyFill="1" applyBorder="1" applyAlignment="1">
      <x:alignment vertical="bottom" wrapText="0"/>
    </x:xf>
    <x:xf numFmtId="0" fontId="8" fillId="5" xfId="0" applyNumberFormat="1" applyFont="1" applyFill="1" applyBorder="0" applyAlignment="1">
      <x:alignment vertical="bottom" wrapText="0"/>
    </x:xf>
    <x:xf numFmtId="0" fontId="8" fillId="5" borderId="5" xfId="0" applyNumberFormat="1" applyFont="1" applyFill="1" applyBorder="1" applyAlignment="1">
      <x:alignment vertical="bottom" wrapText="0"/>
    </x:xf>
    <x:xf numFmtId="0" fontId="8" fillId="5" borderId="6" xfId="0" applyNumberFormat="1" applyFont="1" applyFill="1" applyBorder="1" applyAlignment="1">
      <x:alignment vertical="bottom" wrapText="0"/>
    </x:xf>
    <x:xf numFmtId="0" fontId="8" fillId="5" borderId="7" xfId="0" applyNumberFormat="1" applyFont="1" applyFill="1" applyBorder="1" applyAlignment="1">
      <x:alignment vertical="bottom" wrapText="0"/>
    </x:xf>
    <x:xf numFmtId="0" fontId="8" fillId="5" borderId="8" xfId="0" applyNumberFormat="1" applyFont="1" applyFill="1" applyBorder="1" applyAlignment="1">
      <x:alignment vertical="bottom" wrapText="0"/>
    </x:xf>
    <x:xf numFmtId="0" fontId="8" fillId="5" borderId="1" xfId="0" applyNumberFormat="1" applyFont="1" applyFill="1" applyBorder="1" applyAlignment="1">
      <x:alignment vertical="bottom" wrapText="1"/>
    </x:xf>
    <x:xf numFmtId="0" fontId="8" fillId="5" borderId="2" xfId="0" applyNumberFormat="1" applyFont="1" applyFill="1" applyBorder="1" applyAlignment="1">
      <x:alignment vertical="bottom" wrapText="1"/>
    </x:xf>
    <x:xf numFmtId="0" fontId="8" fillId="5" borderId="3" xfId="0" applyNumberFormat="1" applyFont="1" applyFill="1" applyBorder="1" applyAlignment="1">
      <x:alignment vertical="bottom" wrapText="1"/>
    </x:xf>
    <x:xf numFmtId="0" fontId="8" fillId="5" borderId="4" xfId="0" applyNumberFormat="1" applyFont="1" applyFill="1" applyBorder="1" applyAlignment="1">
      <x:alignment vertical="bottom" wrapText="1"/>
    </x:xf>
    <x:xf numFmtId="0" fontId="8" fillId="5" xfId="0" applyNumberFormat="1" applyFont="1" applyFill="1" applyBorder="0" applyAlignment="1">
      <x:alignment vertical="bottom" wrapText="1"/>
    </x:xf>
    <x:xf numFmtId="0" fontId="8" fillId="5" borderId="5" xfId="0" applyNumberFormat="1" applyFont="1" applyFill="1" applyBorder="1" applyAlignment="1">
      <x:alignment vertical="bottom" wrapText="1"/>
    </x:xf>
    <x:xf numFmtId="0" fontId="8" fillId="5" borderId="6" xfId="0" applyNumberFormat="1" applyFont="1" applyFill="1" applyBorder="1" applyAlignment="1">
      <x:alignment vertical="bottom" wrapText="1"/>
    </x:xf>
    <x:xf numFmtId="0" fontId="8" fillId="5" borderId="7" xfId="0" applyNumberFormat="1" applyFont="1" applyFill="1" applyBorder="1" applyAlignment="1">
      <x:alignment vertical="bottom" wrapText="1"/>
    </x:xf>
    <x:xf numFmtId="0" fontId="8" fillId="5" borderId="8" xfId="0" applyNumberFormat="1" applyFont="1" applyFill="1" applyBorder="1" applyAlignment="1">
      <x:alignment vertical="bottom" wrapText="1"/>
    </x:xf>
    <x:xf numFmtId="0" fontId="8" fillId="5" borderId="1" xfId="0" applyNumberFormat="1" applyFont="1" applyFill="1" applyBorder="1" applyAlignment="1">
      <x:alignment horizontal="center" vertical="bottom" wrapText="1"/>
    </x:xf>
    <x:xf numFmtId="0" fontId="8" fillId="5" borderId="2" xfId="0" applyNumberFormat="1" applyFont="1" applyFill="1" applyBorder="1" applyAlignment="1">
      <x:alignment horizontal="center" vertical="bottom" wrapText="1"/>
    </x:xf>
    <x:xf numFmtId="0" fontId="8" fillId="5" borderId="3" xfId="0" applyNumberFormat="1" applyFont="1" applyFill="1" applyBorder="1" applyAlignment="1">
      <x:alignment horizontal="center" vertical="bottom" wrapText="1"/>
    </x:xf>
    <x:xf numFmtId="0" fontId="8" fillId="5" borderId="4" xfId="0" applyNumberFormat="1" applyFont="1" applyFill="1" applyBorder="1" applyAlignment="1">
      <x:alignment horizontal="center" vertical="bottom" wrapText="1"/>
    </x:xf>
    <x:xf numFmtId="0" fontId="8" fillId="5" xfId="0" applyNumberFormat="1" applyFont="1" applyFill="1" applyBorder="0" applyAlignment="1">
      <x:alignment horizontal="center" vertical="bottom" wrapText="1"/>
    </x:xf>
    <x:xf numFmtId="0" fontId="8" fillId="5" borderId="5" xfId="0" applyNumberFormat="1" applyFont="1" applyFill="1" applyBorder="1" applyAlignment="1">
      <x:alignment horizontal="center" vertical="bottom" wrapText="1"/>
    </x:xf>
    <x:xf numFmtId="0" fontId="8" fillId="5" borderId="6" xfId="0" applyNumberFormat="1" applyFont="1" applyFill="1" applyBorder="1" applyAlignment="1">
      <x:alignment horizontal="center" vertical="bottom" wrapText="1"/>
    </x:xf>
    <x:xf numFmtId="0" fontId="8" fillId="5" borderId="7" xfId="0" applyNumberFormat="1" applyFont="1" applyFill="1" applyBorder="1" applyAlignment="1">
      <x:alignment horizontal="center" vertical="bottom" wrapText="1"/>
    </x:xf>
    <x:xf numFmtId="0" fontId="8" fillId="5" borderId="8" xfId="0" applyNumberFormat="1" applyFont="1" applyFill="1" applyBorder="1" applyAlignment="1">
      <x:alignment horizontal="center" vertical="bottom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xfId="0" applyNumberFormat="1" applyFont="1" applyFill="1" applyBorder="0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bottom" wrapText="0"/>
    </x:xf>
    <x:xf numFmtId="0" fontId="9" fillId="6" borderId="0" xfId="0" applyNumberFormat="1" applyFont="1" applyFill="1" applyBorder="1" applyAlignment="1">
      <x:alignment vertical="bottom" wrapText="0"/>
    </x:xf>
    <x:xf numFmtId="0" fontId="9" fillId="6" borderId="0" xfId="0" applyNumberFormat="1" applyFont="1" applyFill="1" applyBorder="1" applyAlignment="1">
      <x:alignment horizontal="center" vertical="bottom" wrapText="0"/>
    </x:xf>
    <x:xf numFmtId="0" fontId="9" fillId="6" borderId="0" xfId="0" applyNumberFormat="1" applyFont="1" applyFill="1" applyBorder="1" applyAlignment="1">
      <x:alignment horizontal="center" vertical="center" wrapText="0"/>
    </x:xf>
    <x:xf numFmtId="0" fontId="10" fillId="4" borderId="0" xfId="0" applyNumberFormat="1" applyFont="1" applyFill="1" applyBorder="1" applyAlignment="1">
      <x:alignment vertical="bottom" wrapText="0"/>
    </x:xf>
    <x:xf numFmtId="0" fontId="10" fillId="4" borderId="0" xfId="0" applyNumberFormat="1" applyFont="1" applyFill="1" applyBorder="1" applyAlignment="1">
      <x:alignment horizontal="left" vertical="bottom" wrapText="0"/>
    </x:xf>
    <x:xf numFmtId="0" fontId="10" fillId="4" borderId="0" xfId="0" applyNumberFormat="1" applyFont="1" applyFill="1" applyBorder="1" applyAlignment="1">
      <x:alignment horizontal="left" vertical="center" wrapText="0"/>
    </x:xf>
    <x:xf numFmtId="0" fontId="11" fillId="0" borderId="0" xfId="0" applyNumberFormat="1" applyFont="1" applyFill="1" applyBorder="1" applyAlignment="1">
      <x:alignment vertical="bottom" wrapText="0"/>
    </x:xf>
    <x:xf numFmtId="200" fontId="11" fillId="0" borderId="0" xfId="0" applyNumberFormat="1" applyFont="1" applyFill="1" applyBorder="1" applyAlignment="1">
      <x:alignment vertical="bottom" wrapText="0"/>
    </x:xf>
    <x:xf numFmtId="201" fontId="11" fillId="0" borderId="0" xfId="0" applyNumberFormat="1" applyFont="1" applyFill="1" applyBorder="1" applyAlignment="1">
      <x:alignment vertical="bottom" wrapText="0"/>
    </x:xf>
    <x:xf numFmtId="202" fontId="11" fillId="0" borderId="0" xfId="0" applyNumberFormat="1" applyFont="1" applyFill="1" applyBorder="1" applyAlignment="1">
      <x:alignment vertical="bottom" wrapText="0"/>
    </x:xf>
    <x:xf numFmtId="0" fontId="4" fillId="7" borderId="0" xfId="0" applyNumberFormat="1" applyFont="1" applyFill="1" applyBorder="1" applyAlignment="1">
      <x:alignment vertical="bottom" wrapText="0"/>
    </x:xf>
    <x:xf numFmtId="0" fontId="12" fillId="7" borderId="0" xfId="0" applyNumberFormat="1" applyFont="1" applyFill="1" applyBorder="1" applyAlignment="1">
      <x:alignment vertical="bottom" wrapText="0"/>
    </x:xf>
    <x:xf numFmtId="0" fontId="12" fillId="7" borderId="0" xfId="0" applyNumberFormat="1" applyFont="1" applyFill="1" applyBorder="1" applyAlignment="1">
      <x:alignment horizontal="center" vertical="bottom" wrapText="0"/>
    </x:xf>
    <x:xf numFmtId="203" fontId="4" fillId="3" borderId="0" xfId="0" applyNumberFormat="1" applyFont="1" applyFill="1" applyBorder="1" applyAlignment="1">
      <x:alignment vertical="bottom" wrapText="0"/>
    </x:xf>
    <x:xf numFmtId="204" fontId="4" fillId="3" borderId="0" xfId="0" applyNumberFormat="1" applyFont="1" applyFill="1" applyBorder="1" applyAlignment="1">
      <x:alignment vertical="bottom" wrapText="0"/>
    </x:xf>
    <x:xf numFmtId="0" fontId="4" fillId="3" xfId="0" applyNumberFormat="1" applyFont="1" applyFill="1" applyBorder="0" applyAlignment="1">
      <x:alignment vertical="bottom" wrapText="0"/>
    </x:xf>
    <x:xf numFmtId="203" fontId="4" fillId="3" xfId="0" applyNumberFormat="1" applyFont="1" applyFill="1" applyBorder="0" applyAlignment="1">
      <x:alignment vertical="bottom" wrapText="0"/>
    </x:xf>
    <x:xf numFmtId="204" fontId="4" fillId="3" xfId="0" applyNumberFormat="1" applyFont="1" applyFill="1" applyBorder="0" applyAlignment="1">
      <x:alignment vertical="bottom" wrapText="0"/>
    </x:xf>
    <x:xf numFmtId="0" fontId="4" fillId="3" borderId="9" xfId="0" applyNumberFormat="1" applyFont="1" applyFill="1" applyBorder="1" applyAlignment="1">
      <x:alignment vertical="bottom" wrapText="0"/>
    </x:xf>
    <x:xf numFmtId="203" fontId="4" fillId="3" borderId="9" xfId="0" applyNumberFormat="1" applyFont="1" applyFill="1" applyBorder="1" applyAlignment="1">
      <x:alignment vertical="bottom" wrapText="0"/>
    </x:xf>
    <x:xf numFmtId="204" fontId="4" fillId="3" borderId="9" xfId="0" applyNumberFormat="1" applyFont="1" applyFill="1" applyBorder="1" applyAlignment="1">
      <x:alignment vertical="bottom" wrapText="0"/>
    </x:xf>
    <x:xf numFmtId="0" fontId="13" fillId="3" xfId="0" applyNumberFormat="1" applyFont="1" applyFill="1" applyBorder="0" applyAlignment="1">
      <x:alignment vertical="bottom" wrapText="0"/>
    </x:xf>
    <x:xf numFmtId="0" fontId="13" fillId="3" borderId="9" xfId="0" applyNumberFormat="1" applyFont="1" applyFill="1" applyBorder="1" applyAlignment="1">
      <x:alignment vertical="bottom" wrapText="0"/>
    </x:xf>
    <x:xf numFmtId="0" fontId="14" fillId="3" xfId="0" applyNumberFormat="1" applyFont="1" applyFill="1" applyBorder="0" applyAlignment="1">
      <x:alignment vertical="bottom" wrapText="0"/>
    </x:xf>
    <x:xf numFmtId="0" fontId="14" fillId="3" borderId="9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center" wrapText="0"/>
    </x:xf>
    <x:xf numFmtId="0" fontId="15" fillId="7" borderId="0" xfId="0" applyNumberFormat="1" applyFont="1" applyFill="1" applyBorder="1" applyAlignment="1">
      <x:alignment horizontal="center" vertical="bottom" wrapText="0"/>
    </x:xf>
    <x:xf numFmtId="0" fontId="16" fillId="3" xfId="0" applyNumberFormat="1" applyFont="1" applyFill="1" applyBorder="0" applyAlignment="1">
      <x:alignment vertical="bottom" wrapText="0"/>
    </x:xf>
    <x:xf numFmtId="203" fontId="16" fillId="3" xfId="0" applyNumberFormat="1" applyFont="1" applyFill="1" applyBorder="0" applyAlignment="1">
      <x:alignment vertical="bottom" wrapText="0"/>
    </x:xf>
    <x:xf numFmtId="204" fontId="16" fillId="3" xfId="0" applyNumberFormat="1" applyFont="1" applyFill="1" applyBorder="0" applyAlignment="1">
      <x:alignment vertical="bottom" wrapText="0"/>
    </x:xf>
    <x:xf numFmtId="0" fontId="15" fillId="3" xfId="0" applyNumberFormat="1" applyFont="1" applyFill="1" applyBorder="0" applyAlignment="1">
      <x:alignment vertical="bottom" wrapText="0"/>
    </x:xf>
    <x:xf numFmtId="0" fontId="16" fillId="3" borderId="9" xfId="0" applyNumberFormat="1" applyFont="1" applyFill="1" applyBorder="1" applyAlignment="1">
      <x:alignment vertical="bottom" wrapText="0"/>
    </x:xf>
    <x:xf numFmtId="0" fontId="15" fillId="3" borderId="9" xfId="0" applyNumberFormat="1" applyFont="1" applyFill="1" applyBorder="1" applyAlignment="1">
      <x:alignment vertical="bottom" wrapText="0"/>
    </x:xf>
    <x:xf numFmtId="203" fontId="16" fillId="3" borderId="9" xfId="0" applyNumberFormat="1" applyFont="1" applyFill="1" applyBorder="1" applyAlignment="1">
      <x:alignment vertical="bottom" wrapText="0"/>
    </x:xf>
    <x:xf numFmtId="204" fontId="16" fillId="3" borderId="9" xfId="0" applyNumberFormat="1" applyFont="1" applyFill="1" applyBorder="1" applyAlignment="1">
      <x:alignment vertical="bottom" wrapText="0"/>
    </x:xf>
    <x:xf numFmtId="0" fontId="16" fillId="3" borderId="0" xfId="0" applyNumberFormat="1" applyFont="1" applyFill="1" applyBorder="1" applyAlignment="1">
      <x:alignment vertical="bottom" wrapText="0"/>
    </x:xf>
    <x:xf numFmtId="0" fontId="17" fillId="5" borderId="1" xfId="0" applyNumberFormat="1" applyFont="1" applyFill="1" applyBorder="1" applyAlignment="1">
      <x:alignment horizontal="center"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7" fillId="5" borderId="3" xfId="0" applyNumberFormat="1" applyFont="1" applyFill="1" applyBorder="1" applyAlignment="1">
      <x:alignment horizontal="center" vertical="center" wrapText="1"/>
    </x:xf>
    <x:xf numFmtId="0" fontId="18" fillId="5" borderId="4" xfId="0" applyNumberFormat="1" applyFont="1" applyFill="1" applyBorder="1" applyAlignment="1">
      <x:alignment horizontal="center" vertical="center" wrapText="1"/>
    </x:xf>
    <x:xf numFmtId="0" fontId="18" fillId="5" xfId="0" applyNumberFormat="1" applyFont="1" applyFill="1" applyBorder="0" applyAlignment="1">
      <x:alignment horizontal="center" vertical="center" wrapText="1"/>
    </x:xf>
    <x:xf numFmtId="0" fontId="18" fillId="5" borderId="5" xfId="0" applyNumberFormat="1" applyFont="1" applyFill="1" applyBorder="1" applyAlignment="1">
      <x:alignment horizontal="center" vertical="center" wrapText="1"/>
    </x:xf>
    <x:xf numFmtId="0" fontId="18" fillId="5" borderId="6" xfId="0" applyNumberFormat="1" applyFont="1" applyFill="1" applyBorder="1" applyAlignment="1">
      <x:alignment horizontal="center" vertical="center" wrapText="1"/>
    </x:xf>
    <x:xf numFmtId="0" fontId="18" fillId="5" borderId="7" xfId="0" applyNumberFormat="1" applyFont="1" applyFill="1" applyBorder="1" applyAlignment="1">
      <x:alignment horizontal="center" vertical="center" wrapText="1"/>
    </x:xf>
    <x:xf numFmtId="0" fontId="18" fillId="5" borderId="8" xfId="0" applyNumberFormat="1" applyFont="1" applyFill="1" applyBorder="1" applyAlignment="1">
      <x:alignment horizontal="center" vertical="center" wrapText="1"/>
    </x:xf>
    <x:xf numFmtId="203" fontId="18" fillId="5" borderId="4" xfId="0" applyNumberFormat="1" applyFont="1" applyFill="1" applyBorder="1" applyAlignment="1">
      <x:alignment horizontal="center" vertical="center" wrapText="1"/>
    </x:xf>
    <x:xf numFmtId="205" fontId="18" fillId="5" borderId="4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bottom" wrapText="0"/>
    </x:xf>
    <x:xf numFmtId="203" fontId="18" fillId="5" xfId="0" applyNumberFormat="1" applyFont="1" applyFill="1" applyBorder="0" applyAlignment="1">
      <x:alignment horizontal="center" vertical="center" wrapText="1"/>
    </x:xf>
    <x:xf numFmtId="203" fontId="18" fillId="5" borderId="5" xfId="0" applyNumberFormat="1" applyFont="1" applyFill="1" applyBorder="1" applyAlignment="1">
      <x:alignment horizontal="center" vertical="center" wrapText="1"/>
    </x:xf>
    <x:xf numFmtId="203" fontId="18" fillId="5" borderId="6" xfId="0" applyNumberFormat="1" applyFont="1" applyFill="1" applyBorder="1" applyAlignment="1">
      <x:alignment horizontal="center" vertical="center" wrapText="1"/>
    </x:xf>
    <x:xf numFmtId="203" fontId="18" fillId="5" borderId="7" xfId="0" applyNumberFormat="1" applyFont="1" applyFill="1" applyBorder="1" applyAlignment="1">
      <x:alignment horizontal="center" vertical="center" wrapText="1"/>
    </x:xf>
    <x:xf numFmtId="203" fontId="18" fillId="5" borderId="8" xfId="0" applyNumberFormat="1" applyFont="1" applyFill="1" applyBorder="1" applyAlignment="1">
      <x:alignment horizontal="center" vertical="center" wrapText="1"/>
    </x:xf>
    <x:xf numFmtId="205" fontId="18" fillId="5" xfId="0" applyNumberFormat="1" applyFont="1" applyFill="1" applyBorder="0" applyAlignment="1">
      <x:alignment horizontal="center" vertical="center" wrapText="1"/>
    </x:xf>
    <x:xf numFmtId="205" fontId="18" fillId="5" borderId="5" xfId="0" applyNumberFormat="1" applyFont="1" applyFill="1" applyBorder="1" applyAlignment="1">
      <x:alignment horizontal="center" vertical="center" wrapText="1"/>
    </x:xf>
    <x:xf numFmtId="205" fontId="18" fillId="5" borderId="6" xfId="0" applyNumberFormat="1" applyFont="1" applyFill="1" applyBorder="1" applyAlignment="1">
      <x:alignment horizontal="center" vertical="center" wrapText="1"/>
    </x:xf>
    <x:xf numFmtId="205" fontId="18" fillId="5" borderId="7" xfId="0" applyNumberFormat="1" applyFont="1" applyFill="1" applyBorder="1" applyAlignment="1">
      <x:alignment horizontal="center" vertical="center" wrapText="1"/>
    </x:xf>
    <x:xf numFmtId="205" fontId="18" fillId="5" borderId="8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 applyAlignment="1">
      <x:alignment horizontal="center" vertical="bottom" wrapText="0"/>
    </x:xf>
    <x:xf numFmtId="0" fontId="20" fillId="3" xfId="0" applyNumberFormat="1" applyFont="1" applyFill="1" applyBorder="0" applyAlignment="1">
      <x:alignment vertical="bottom" wrapText="0"/>
    </x:xf>
    <x:xf numFmtId="203" fontId="20" fillId="3" xfId="0" applyNumberFormat="1" applyFont="1" applyFill="1" applyBorder="0" applyAlignment="1">
      <x:alignment vertical="bottom" wrapText="0"/>
    </x:xf>
    <x:xf numFmtId="204" fontId="20" fillId="3" xfId="0" applyNumberFormat="1" applyFont="1" applyFill="1" applyBorder="0" applyAlignment="1">
      <x:alignment vertical="bottom" wrapText="0"/>
    </x:xf>
    <x:xf numFmtId="0" fontId="19" fillId="3" xfId="0" applyNumberFormat="1" applyFont="1" applyFill="1" applyBorder="0" applyAlignment="1">
      <x:alignment vertical="bottom" wrapText="0"/>
    </x:xf>
    <x:xf numFmtId="0" fontId="20" fillId="3" borderId="9" xfId="0" applyNumberFormat="1" applyFont="1" applyFill="1" applyBorder="1" applyAlignment="1">
      <x:alignment vertical="bottom" wrapText="0"/>
    </x:xf>
    <x:xf numFmtId="0" fontId="19" fillId="3" borderId="9" xfId="0" applyNumberFormat="1" applyFont="1" applyFill="1" applyBorder="1" applyAlignment="1">
      <x:alignment vertical="bottom" wrapText="0"/>
    </x:xf>
    <x:xf numFmtId="203" fontId="20" fillId="3" borderId="9" xfId="0" applyNumberFormat="1" applyFont="1" applyFill="1" applyBorder="1" applyAlignment="1">
      <x:alignment vertical="bottom" wrapText="0"/>
    </x:xf>
    <x:xf numFmtId="204" fontId="20" fillId="3" borderId="9" xfId="0" applyNumberFormat="1" applyFont="1" applyFill="1" applyBorder="1" applyAlignment="1">
      <x:alignment vertical="bottom" wrapText="0"/>
    </x:xf>
    <x:xf numFmtId="0" fontId="20" fillId="3" borderId="0" xfId="0" applyNumberFormat="1" applyFont="1" applyFill="1" applyBorder="1" applyAlignment="1">
      <x:alignment vertical="bottom" wrapText="0"/>
    </x:xf>
    <x:xf numFmtId="0" fontId="21" fillId="7" borderId="0" xfId="0" applyNumberFormat="1" applyFont="1" applyFill="1" applyBorder="1" applyAlignment="1">
      <x:alignment horizontal="center" vertical="bottom" wrapText="0"/>
    </x:xf>
    <x:xf numFmtId="0" fontId="20" fillId="3" xfId="0" applyNumberFormat="1" applyFont="1" applyFill="1" applyBorder="0" applyAlignment="1">
      <x:alignment horizontal="center" vertical="bottom" wrapText="0"/>
    </x:xf>
    <x:xf numFmtId="0" fontId="20" fillId="3" borderId="9" xfId="0" applyNumberFormat="1" applyFont="1" applyFill="1" applyBorder="1" applyAlignment="1">
      <x:alignment horizontal="center" vertical="bottom" wrapText="0"/>
    </x:xf>
    <x:xf numFmtId="0" fontId="19" fillId="3" xfId="0" applyNumberFormat="1" applyFont="1" applyFill="1" applyBorder="0" applyAlignment="1">
      <x:alignment horizontal="center" vertical="bottom" wrapText="0"/>
    </x:xf>
    <x:xf numFmtId="0" fontId="19" fillId="3" borderId="9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f3432a2764175" /><Relationship Type="http://schemas.openxmlformats.org/officeDocument/2006/relationships/theme" Target="/xl/theme/theme1.xml" Id="R0eab58dce23140c1" /><Relationship Type="http://schemas.openxmlformats.org/officeDocument/2006/relationships/sharedStrings" Target="/xl/sharedStrings.xml" Id="R79873fb6a57d4bb6" /><Relationship Type="http://schemas.openxmlformats.org/officeDocument/2006/relationships/worksheet" Target="/xl/worksheets/sheet1.xml" Id="Rd789a47dece14a20" /><Relationship Type="http://schemas.openxmlformats.org/officeDocument/2006/relationships/worksheet" Target="/xl/worksheets/sheet2.xml" Id="R40a7e6c9cd704acf" /><Relationship Type="http://schemas.openxmlformats.org/officeDocument/2006/relationships/worksheet" Target="/xl/worksheets/sheet3.xml" Id="Reb682def04ad45dd" /><Relationship Type="http://schemas.openxmlformats.org/officeDocument/2006/relationships/worksheet" Target="/xl/worksheets/sheet4.xml" Id="R89034417fd1a4c69" /><Relationship Type="http://schemas.openxmlformats.org/officeDocument/2006/relationships/worksheet" Target="/xl/worksheets/sheet5.xml" Id="R730ab2e179aa46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ac7d8ccb0a4c18" /><Relationship Type="http://schemas.openxmlformats.org/officeDocument/2006/relationships/chart" Target="/xl/drawings/charts/chart2.xml" Id="R754ac57bc7664877" /><Relationship Type="http://schemas.openxmlformats.org/officeDocument/2006/relationships/chart" Target="/xl/drawings/charts/chart3.xml" Id="R5e9f151ad42142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Pemasukan vs Pengeluaran Harian</a:t>
            </a:r>
          </a:p>
        </c:rich>
      </c:tx>
    </c:title>
    <c:plotArea>
      <c:lineChart>
        <c:grouping val="standard"/>
        <c:ser>
          <c:idx val="0"/>
          <c:order val="0"/>
          <c:tx>
            <c:v>Pemasukan</c:v>
          </c:tx>
          <c:marker>
            <c:symbol val="none"/>
          </c:marker>
          <c:cat>
            <c:strRef>
              <c:f>'Sheet1'!$AE$5:$AE$35</c:f>
              <c:strCache>
                <c:ptCount val="0"/>
              </c:strCache>
            </c:strRef>
          </c:cat>
          <c:val>
            <c:numRef>
              <c:f>'Sheet1'!$AF$5:$AF$35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Pengeluaran</c:v>
          </c:tx>
          <c:marker>
            <c:symbol val="none"/>
          </c:marker>
          <c:cat>
            <c:strRef>
              <c:f>'Sheet1'!$AE$5:$AE$35</c:f>
              <c:strCache>
                <c:ptCount val="0"/>
              </c:strCache>
            </c:strRef>
          </c:cat>
          <c:val>
            <c:numRef>
              <c:f>'Sheet1'!$AG$5:$AG$35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 by Category</a:t>
            </a:r>
          </a:p>
        </c:rich>
      </c:tx>
    </c:title>
    <c:plotArea>
      <c:doughnutChart>
        <c:ser>
          <c:idx val="0"/>
          <c:order val="0"/>
          <c:tx>
            <c:v>Jumlah</c:v>
          </c:tx>
          <c:cat>
            <c:strRef>
              <c:f>'Sheet1'!$AH$5:$AH$9</c:f>
              <c:strCache>
                <c:ptCount val="0"/>
              </c:strCache>
            </c:strRef>
          </c:cat>
          <c:val>
            <c:numRef>
              <c:f>'Sheet1'!$AI$5:$AI$9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 Breakdown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'Sheet1'!$AH$5:$AH$9</c:f>
              <c:strCache>
                <c:ptCount val="0"/>
              </c:strCache>
            </c:strRef>
          </c:cat>
          <c:val>
            <c:numRef>
              <c:f>'Sheet1'!$AI$5:$AI$9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ac7d8ccb0a4c18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ac57bc7664877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9f151ad42142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_Expense_Log" displayName="Financial_Expense_Log" ref="A1:K80">
  <x:tableColumns count="11">
    <x:tableColumn id="1" name="Timestamp"/>
    <x:tableColumn id="2" name="Session"/>
    <x:tableColumn id="3" name="From"/>
    <x:tableColumn id="4" name="Pesan"/>
    <x:tableColumn id="5" name="Kategori"/>
    <x:tableColumn id="6" name="Jumlah"/>
    <x:tableColumn id="7" name="Tipe"/>
    <x:tableColumn id="8" name="Rekening"/>
    <x:tableColumn id="9" name="Message ID"/>
    <x:tableColumn id="10" name="Status"/>
    <x:tableColumn id="11" name="Cancelled At"/>
  </x:tableColumns>
  <x:tableStyleInfo name="Transaksi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965cbd6e98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82ed52ec2b42ea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.5" hidden="0" customWidth="1"/>
    <x:col min="2" max="2" width="13" hidden="0" customWidth="1"/>
    <x:col min="3" max="3" width="13" hidden="0" customWidth="1"/>
    <x:col min="4" max="4" width="9" hidden="0" customWidth="1"/>
    <x:col min="5" max="5" width="13" hidden="0" customWidth="1"/>
    <x:col min="6" max="6" width="13" hidden="0" customWidth="1"/>
    <x:col min="7" max="7" width="9" hidden="0" customWidth="1"/>
    <x:col min="8" max="8" width="13" hidden="0" customWidth="1"/>
    <x:col min="9" max="9" width="13" hidden="0" customWidth="1"/>
    <x:col min="10" max="10" width="9" hidden="0" customWidth="1"/>
    <x:col min="11" max="11" width="13" hidden="0" customWidth="1"/>
    <x:col min="12" max="12" width="13" hidden="0" customWidth="1"/>
    <x:col min="13" max="13" width="10" hidden="0" customWidth="1"/>
    <x:col min="14" max="14" width="13" hidden="0" customWidth="1"/>
    <x:col min="15" max="15" width="13" hidden="0" customWidth="1"/>
    <x:col min="16" max="16" width="13" hidden="0" customWidth="1"/>
    <x:col min="17" max="17" width="2.5" hidden="0" customWidth="1"/>
  </x:cols>
  <x:sheetData>
    <x:row r="1" ht="25" customHeight="1">
      <x:c r="A1" s="24"/>
      <x:c r="B1" s="28" t="str">
        <x:v>WA FINANCE GATEWAY — PERFORMANCE OVERVIEW</x:v>
      </x:c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4"/>
      <x:c r="X1" s="78" t="str">
        <x:v>Helper</x:v>
      </x:c>
      <x:c r="Y1" s="78"/>
      <x:c r="Z1" s="78"/>
      <x:c r="AA1" s="78"/>
      <x:c r="AB1" s="78" t="n">
        <x:f>SUMIFS(Transaksi!$F:$F,Transaksi!$G:$G,"Masuk",Transaksi!$J:$J,"Tersimpan")</x:f>
        <x:v>5079840</x:v>
      </x:c>
      <x:c r="AC1" s="78"/>
      <x:c r="AD1" s="78"/>
    </x:row>
    <x:row r="2" ht="26" customHeight="1">
      <x:c r="A2" s="24"/>
      <x:c r="B2" s="29" t="str">
        <x:v>Dashboard &amp; Reporting Tool</x:v>
      </x:c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32" t="str">
        <x:v>Periode otomatis: bulan transaksi terbaru</x:v>
      </x:c>
      <x:c r="N2" s="32"/>
      <x:c r="O2" s="32"/>
      <x:c r="P2" s="32"/>
      <x:c r="Q2" s="24"/>
      <x:c r="X2" s="79" t="n">
        <x:f>DATE(YEAR(MAX(Transaksi!$A$2:$A$5000)),MONTH(MAX(Transaksi!$A$2:$A$5000)),1)</x:f>
        <x:v>46235</x:v>
      </x:c>
      <x:c r="Y2" s="78"/>
      <x:c r="Z2" s="78"/>
      <x:c r="AA2" s="78"/>
      <x:c r="AB2" s="78" t="n">
        <x:f>SUMIFS(Transaksi!$F:$F,Transaksi!$G:$G,"Keluar",Transaksi!$J:$J,"Tersimpan")</x:f>
        <x:v>4332077</x:v>
      </x:c>
      <x:c r="AC2" s="78"/>
      <x:c r="AD2" s="78"/>
    </x:row>
    <x:row r="3" ht="20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X3" s="78"/>
      <x:c r="Y3" s="78"/>
      <x:c r="Z3" s="78"/>
      <x:c r="AA3" s="78"/>
      <x:c r="AB3" s="78" t="n">
        <x:f>AB1-AB2</x:f>
        <x:v>747763</x:v>
      </x:c>
      <x:c r="AC3" s="78"/>
      <x:c r="AD3" s="78"/>
    </x:row>
    <x:row r="4" ht="24" customHeight="1">
      <x:c r="A4" s="24"/>
      <x:c r="B4" s="108" t="str">
        <x:v>TOTAL PEMASUKAN</x:v>
      </x:c>
      <x:c r="C4" s="109"/>
      <x:c r="D4" s="110"/>
      <x:c r="E4" s="108" t="str">
        <x:v>TOTAL PENGELUARAN</x:v>
      </x:c>
      <x:c r="F4" s="109"/>
      <x:c r="G4" s="110"/>
      <x:c r="H4" s="108" t="str">
        <x:v>ARUS KAS BERSIH</x:v>
      </x:c>
      <x:c r="I4" s="109"/>
      <x:c r="J4" s="110"/>
      <x:c r="K4" s="108" t="str">
        <x:v>TOTAL SALDO</x:v>
      </x:c>
      <x:c r="L4" s="109"/>
      <x:c r="M4" s="110"/>
      <x:c r="N4" s="108" t="str">
        <x:v>TRANSAKSI AKTIF</x:v>
      </x:c>
      <x:c r="O4" s="109"/>
      <x:c r="P4" s="110"/>
      <x:c r="Q4" s="24"/>
      <x:c r="X4" s="78" t="str">
        <x:v>Tanggal</x:v>
      </x:c>
      <x:c r="Y4" s="78" t="str">
        <x:v>Pemasukan</x:v>
      </x:c>
      <x:c r="Z4" s="78" t="str">
        <x:v>Pengeluaran</x:v>
      </x:c>
      <x:c r="AA4" s="78"/>
      <x:c r="AB4" s="78" t="n">
        <x:f>SUM(Rekening!$B$2:$B$100)</x:f>
        <x:v>747763</x:v>
      </x:c>
      <x:c r="AC4" s="78"/>
      <x:c r="AD4" s="78"/>
      <x:c r="AE4" t="str">
        <x:v>Hari</x:v>
      </x:c>
      <x:c r="AF4" t="str">
        <x:v>Pemasukan</x:v>
      </x:c>
      <x:c r="AG4" t="str">
        <x:v>Pengeluaran</x:v>
      </x:c>
      <x:c r="AH4" t="str">
        <x:v>Kategori</x:v>
      </x:c>
      <x:c r="AI4" t="str">
        <x:v>Jumlah</x:v>
      </x:c>
    </x:row>
    <x:row r="5" ht="24" customHeight="1">
      <x:c r="A5" s="24"/>
      <x:c r="B5" s="117" t="str">
        <x:f>"Rp "&amp;TEXT($AB$1,"#,##0")</x:f>
        <x:v>Rp 5,079,840</x:v>
      </x:c>
      <x:c r="C5" s="120"/>
      <x:c r="D5" s="121"/>
      <x:c r="E5" s="117" t="str">
        <x:f>"Rp "&amp;TEXT($AB$2,"#,##0")</x:f>
        <x:v>Rp 4,332,077</x:v>
      </x:c>
      <x:c r="F5" s="120"/>
      <x:c r="G5" s="121"/>
      <x:c r="H5" s="117" t="str">
        <x:f>"Rp "&amp;TEXT($AB$3,"#,##0")</x:f>
        <x:v>Rp 747,763</x:v>
      </x:c>
      <x:c r="I5" s="120"/>
      <x:c r="J5" s="121"/>
      <x:c r="K5" s="117" t="str">
        <x:f>"Rp "&amp;TEXT($AB$4,"#,##0")</x:f>
        <x:v>Rp 747,763</x:v>
      </x:c>
      <x:c r="L5" s="120"/>
      <x:c r="M5" s="121"/>
      <x:c r="N5" s="118" t="str">
        <x:f>TEXT($AB$5,"0")</x:f>
        <x:v>66</x:v>
      </x:c>
      <x:c r="O5" s="125"/>
      <x:c r="P5" s="126"/>
      <x:c r="Q5" s="24"/>
      <x:c r="X5" s="80" t="n">
        <x:f>$X$2+0</x:f>
        <x:v>46235</x:v>
      </x:c>
      <x:c r="Y5" s="81" t="n">
        <x:f>SUMIFS(Transaksi!$F:$F,Transaksi!$A:$A,"&gt;="&amp;X5,Transaksi!$A:$A,"&lt;"&amp;X5+1,Transaksi!$G:$G,"Masuk",Transaksi!$J:$J,"Tersimpan")</x:f>
        <x:v>700000</x:v>
      </x:c>
      <x:c r="Z5" s="81" t="n">
        <x:f>SUMIFS(Transaksi!$F:$F,Transaksi!$A:$A,"&gt;="&amp;X5,Transaksi!$A:$A,"&lt;"&amp;X5+1,Transaksi!$G:$G,"Keluar",Transaksi!$J:$J,"Tersimpan")</x:f>
        <x:v>100000</x:v>
      </x:c>
      <x:c r="AA5" s="78"/>
      <x:c r="AB5" s="78" t="n">
        <x:f>COUNTIFS(Transaksi!$J:$J,"Tersimpan")</x:f>
        <x:v>66</x:v>
      </x:c>
      <x:c r="AC5" s="78" t="str">
        <x:v>BCA</x:v>
      </x:c>
      <x:c r="AD5" s="81" t="n">
        <x:f>IFERROR(INDEX(Rekening!$B$2:$B$100,MATCH(AC5,Rekening!$A$2:$A$100,0)),0)</x:f>
        <x:v>1051105</x:v>
      </x:c>
      <x:c r="AE5" t="str">
        <x:f>TEXT($X$2+0,"d mmm")</x:f>
        <x:v>1 Aug</x:v>
      </x:c>
      <x:c r="AF5" s="119" t="n">
        <x:f>SUMIFS(Transaksi!$F:$F,Transaksi!$A:$A,"&gt;="&amp;($X$2+0),Transaksi!$A:$A,"&lt;"&amp;($X$2+1),Transaksi!$G:$G,"Masuk",Transaksi!$J:$J,"Tersimpan")</x:f>
        <x:v>700000</x:v>
      </x:c>
      <x:c r="AG5" s="119" t="n">
        <x:f>SUMIFS(Transaksi!$F:$F,Transaksi!$A:$A,"&gt;="&amp;($X$2+0),Transaksi!$A:$A,"&lt;"&amp;($X$2+1),Transaksi!$G:$G,"Keluar",Transaksi!$J:$J,"Tersimpan")</x:f>
        <x:v>100000</x:v>
      </x:c>
      <x:c r="AH5" t="str">
        <x:v>Belanja</x:v>
      </x:c>
      <x:c r="AI5" s="119" t="n">
        <x:f>AA6</x:f>
        <x:v>762000</x:v>
      </x:c>
    </x:row>
    <x:row r="6" ht="24" customHeight="1">
      <x:c r="A6" s="24"/>
      <x:c r="B6" s="122"/>
      <x:c r="C6" s="123"/>
      <x:c r="D6" s="124"/>
      <x:c r="E6" s="122"/>
      <x:c r="F6" s="123"/>
      <x:c r="G6" s="124"/>
      <x:c r="H6" s="122"/>
      <x:c r="I6" s="123"/>
      <x:c r="J6" s="124"/>
      <x:c r="K6" s="122"/>
      <x:c r="L6" s="123"/>
      <x:c r="M6" s="124"/>
      <x:c r="N6" s="127"/>
      <x:c r="O6" s="128"/>
      <x:c r="P6" s="129"/>
      <x:c r="Q6" s="24"/>
      <x:c r="X6" s="80" t="str">
        <x:v>Belanja</x:v>
      </x:c>
      <x:c r="Y6" s="81" t="n">
        <x:f>SUMIFS(Transaksi!$F:$F,Transaksi!$A:$A,"&gt;="&amp;X6,Transaksi!$A:$A,"&lt;"&amp;X6+1,Transaksi!$G:$G,"Masuk",Transaksi!$J:$J,"Tersimpan")</x:f>
        <x:v>0</x:v>
      </x:c>
      <x:c r="Z6" s="81" t="n">
        <x:f>SUMIFS(Transaksi!$F:$F,Transaksi!$A:$A,"&gt;="&amp;X6,Transaksi!$A:$A,"&lt;"&amp;X6+1,Transaksi!$G:$G,"Keluar",Transaksi!$J:$J,"Tersimpan")</x:f>
        <x:v>0</x:v>
      </x:c>
      <x:c r="AA6" s="81" t="n">
        <x:f>SUMIFS(Transaksi!$F:$F,Transaksi!$E:$E,X6,Transaksi!$G:$G,"Keluar",Transaksi!$J:$J,"Tersimpan")</x:f>
        <x:v>762000</x:v>
      </x:c>
      <x:c r="AB6" s="78"/>
      <x:c r="AC6" s="78" t="str">
        <x:v>GOPAY</x:v>
      </x:c>
      <x:c r="AD6" s="81" t="n">
        <x:f>IFERROR(INDEX(Rekening!$B$2:$B$100,MATCH(AC6,Rekening!$A$2:$A$100,0)),0)</x:f>
        <x:v>0</x:v>
      </x:c>
      <x:c r="AE6" t="str">
        <x:f>TEXT($X$2+1,"d mmm")</x:f>
        <x:v>2 Aug</x:v>
      </x:c>
      <x:c r="AF6" s="119" t="n">
        <x:f>SUMIFS(Transaksi!$F:$F,Transaksi!$A:$A,"&gt;="&amp;($X$2+1),Transaksi!$A:$A,"&lt;"&amp;($X$2+2),Transaksi!$G:$G,"Masuk",Transaksi!$J:$J,"Tersimpan")</x:f>
        <x:v>210000</x:v>
      </x:c>
      <x:c r="AG6" s="119" t="n">
        <x:f>SUMIFS(Transaksi!$F:$F,Transaksi!$A:$A,"&gt;="&amp;($X$2+1),Transaksi!$A:$A,"&lt;"&amp;($X$2+2),Transaksi!$G:$G,"Keluar",Transaksi!$J:$J,"Tersimpan")</x:f>
        <x:v>464575</x:v>
      </x:c>
      <x:c r="AH6" t="str">
        <x:v>Tagihan</x:v>
      </x:c>
      <x:c r="AI6" s="119" t="n">
        <x:f>AA7</x:f>
        <x:v>509575</x:v>
      </x:c>
    </x:row>
    <x:row r="7" ht="20" customHeight="1">
      <x:c r="A7" s="24"/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74" t="str">
        <x:f>"KATEGORI AKTIF  "&amp;TEXT(COUNTIF($AA$6:$AA$10,"&gt;0"),"0")</x:f>
        <x:v>KATEGORI AKTIF  5</x:v>
      </x:c>
      <x:c r="O7" s="74"/>
      <x:c r="P7" s="74"/>
      <x:c r="Q7" s="24"/>
      <x:c r="X7" s="80" t="str">
        <x:v>Tagihan</x:v>
      </x:c>
      <x:c r="Y7" s="81" t="n">
        <x:f>SUMIFS(Transaksi!$F:$F,Transaksi!$A:$A,"&gt;="&amp;X7,Transaksi!$A:$A,"&lt;"&amp;X7+1,Transaksi!$G:$G,"Masuk",Transaksi!$J:$J,"Tersimpan")</x:f>
        <x:v>0</x:v>
      </x:c>
      <x:c r="Z7" s="81" t="n">
        <x:f>SUMIFS(Transaksi!$F:$F,Transaksi!$A:$A,"&gt;="&amp;X7,Transaksi!$A:$A,"&lt;"&amp;X7+1,Transaksi!$G:$G,"Keluar",Transaksi!$J:$J,"Tersimpan")</x:f>
        <x:v>0</x:v>
      </x:c>
      <x:c r="AA7" s="81" t="n">
        <x:f>SUMIFS(Transaksi!$F:$F,Transaksi!$E:$E,X7,Transaksi!$G:$G,"Keluar",Transaksi!$J:$J,"Tersimpan")</x:f>
        <x:v>509575</x:v>
      </x:c>
      <x:c r="AB7" s="78"/>
      <x:c r="AC7" s="78" t="str">
        <x:v>QRIS</x:v>
      </x:c>
      <x:c r="AD7" s="81" t="n">
        <x:f>IFERROR(INDEX(Rekening!$B$2:$B$100,MATCH(AC7,Rekening!$A$2:$A$100,0)),0)</x:f>
        <x:v>0</x:v>
      </x:c>
      <x:c r="AE7" t="str">
        <x:f>TEXT($X$2+2,"d mmm")</x:f>
        <x:v>3 Aug</x:v>
      </x:c>
      <x:c r="AF7" s="119" t="n">
        <x:f>SUMIFS(Transaksi!$F:$F,Transaksi!$A:$A,"&gt;="&amp;($X$2+2),Transaksi!$A:$A,"&lt;"&amp;($X$2+3),Transaksi!$G:$G,"Masuk",Transaksi!$J:$J,"Tersimpan")</x:f>
        <x:v>200000</x:v>
      </x:c>
      <x:c r="AG7" s="119" t="n">
        <x:f>SUMIFS(Transaksi!$F:$F,Transaksi!$A:$A,"&gt;="&amp;($X$2+2),Transaksi!$A:$A,"&lt;"&amp;($X$2+3),Transaksi!$G:$G,"Keluar",Transaksi!$J:$J,"Tersimpan")</x:f>
        <x:v>15000</x:v>
      </x:c>
      <x:c r="AH7" t="str">
        <x:v>Transport</x:v>
      </x:c>
      <x:c r="AI7" s="119" t="n">
        <x:f>AA8</x:f>
        <x:v>225000</x:v>
      </x:c>
    </x:row>
    <x:row r="8" ht="19" customHeight="1">
      <x:c r="A8" s="24"/>
      <x:c r="B8" s="77" t="str">
        <x:v>CASH FLOW TREND (BULAN TERBARU)</x:v>
      </x:c>
      <x:c r="C8" s="77"/>
      <x:c r="D8" s="77"/>
      <x:c r="E8" s="77"/>
      <x:c r="F8" s="77"/>
      <x:c r="G8" s="77"/>
      <x:c r="H8" s="77" t="str">
        <x:v>PENGELUARAN PER KATEGORI</x:v>
      </x:c>
      <x:c r="I8" s="77"/>
      <x:c r="J8" s="77"/>
      <x:c r="K8" s="77"/>
      <x:c r="L8" s="77" t="str">
        <x:v>EXPENSE BREAKDOWN</x:v>
      </x:c>
      <x:c r="M8" s="77"/>
      <x:c r="N8" s="77"/>
      <x:c r="O8" s="77"/>
      <x:c r="P8" s="77"/>
      <x:c r="Q8" s="24"/>
      <x:c r="X8" s="80" t="str">
        <x:v>Transport</x:v>
      </x:c>
      <x:c r="Y8" s="81" t="n">
        <x:f>SUMIFS(Transaksi!$F:$F,Transaksi!$A:$A,"&gt;="&amp;X8,Transaksi!$A:$A,"&lt;"&amp;X8+1,Transaksi!$G:$G,"Masuk",Transaksi!$J:$J,"Tersimpan")</x:f>
        <x:v>0</x:v>
      </x:c>
      <x:c r="Z8" s="81" t="n">
        <x:f>SUMIFS(Transaksi!$F:$F,Transaksi!$A:$A,"&gt;="&amp;X8,Transaksi!$A:$A,"&lt;"&amp;X8+1,Transaksi!$G:$G,"Keluar",Transaksi!$J:$J,"Tersimpan")</x:f>
        <x:v>0</x:v>
      </x:c>
      <x:c r="AA8" s="81" t="n">
        <x:f>SUMIFS(Transaksi!$F:$F,Transaksi!$E:$E,X8,Transaksi!$G:$G,"Keluar",Transaksi!$J:$J,"Tersimpan")</x:f>
        <x:v>225000</x:v>
      </x:c>
      <x:c r="AB8" s="78"/>
      <x:c r="AC8" s="78" t="str">
        <x:v>SUPERBANK</x:v>
      </x:c>
      <x:c r="AD8" s="81" t="n">
        <x:f>IFERROR(INDEX(Rekening!$B$2:$B$100,MATCH(AC8,Rekening!$A$2:$A$100,0)),0)</x:f>
        <x:v>183658</x:v>
      </x:c>
      <x:c r="AE8" t="str">
        <x:f>TEXT($X$2+3,"d mmm")</x:f>
        <x:v>4 Aug</x:v>
      </x:c>
      <x:c r="AF8" s="119" t="n">
        <x:f>SUMIFS(Transaksi!$F:$F,Transaksi!$A:$A,"&gt;="&amp;($X$2+3),Transaksi!$A:$A,"&lt;"&amp;($X$2+4),Transaksi!$G:$G,"Masuk",Transaksi!$J:$J,"Tersimpan")</x:f>
        <x:v>60000</x:v>
      </x:c>
      <x:c r="AG8" s="119" t="n">
        <x:f>SUMIFS(Transaksi!$F:$F,Transaksi!$A:$A,"&gt;="&amp;($X$2+3),Transaksi!$A:$A,"&lt;"&amp;($X$2+4),Transaksi!$G:$G,"Keluar",Transaksi!$J:$J,"Tersimpan")</x:f>
        <x:v>103000</x:v>
      </x:c>
      <x:c r="AH8" t="str">
        <x:v>Makan</x:v>
      </x:c>
      <x:c r="AI8" s="119" t="n">
        <x:f>AA9</x:f>
        <x:v>414000</x:v>
      </x:c>
    </x:row>
    <x:row r="9" ht="20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X9" s="80" t="str">
        <x:v>Makan</x:v>
      </x:c>
      <x:c r="Y9" s="81" t="n">
        <x:f>SUMIFS(Transaksi!$F:$F,Transaksi!$A:$A,"&gt;="&amp;X9,Transaksi!$A:$A,"&lt;"&amp;X9+1,Transaksi!$G:$G,"Masuk",Transaksi!$J:$J,"Tersimpan")</x:f>
        <x:v>0</x:v>
      </x:c>
      <x:c r="Z9" s="81" t="n">
        <x:f>SUMIFS(Transaksi!$F:$F,Transaksi!$A:$A,"&gt;="&amp;X9,Transaksi!$A:$A,"&lt;"&amp;X9+1,Transaksi!$G:$G,"Keluar",Transaksi!$J:$J,"Tersimpan")</x:f>
        <x:v>0</x:v>
      </x:c>
      <x:c r="AA9" s="81" t="n">
        <x:f>SUMIFS(Transaksi!$F:$F,Transaksi!$E:$E,X9,Transaksi!$G:$G,"Keluar",Transaksi!$J:$J,"Tersimpan")</x:f>
        <x:v>414000</x:v>
      </x:c>
      <x:c r="AB9" s="78"/>
      <x:c r="AC9" s="78" t="str">
        <x:v>Transfer</x:v>
      </x:c>
      <x:c r="AD9" s="81" t="n">
        <x:f>IFERROR(INDEX(Rekening!$B$2:$B$100,MATCH(AC9,Rekening!$A$2:$A$100,0)),0)</x:f>
        <x:v>0</x:v>
      </x:c>
      <x:c r="AE9" t="str">
        <x:f>TEXT($X$2+4,"d mmm")</x:f>
        <x:v>5 Aug</x:v>
      </x:c>
      <x:c r="AF9" s="119" t="n">
        <x:f>SUMIFS(Transaksi!$F:$F,Transaksi!$A:$A,"&gt;="&amp;($X$2+4),Transaksi!$A:$A,"&lt;"&amp;($X$2+5),Transaksi!$G:$G,"Masuk",Transaksi!$J:$J,"Tersimpan")</x:f>
        <x:v>0</x:v>
      </x:c>
      <x:c r="AG9" s="119" t="n">
        <x:f>SUMIFS(Transaksi!$F:$F,Transaksi!$A:$A,"&gt;="&amp;($X$2+4),Transaksi!$A:$A,"&lt;"&amp;($X$2+5),Transaksi!$G:$G,"Keluar",Transaksi!$J:$J,"Tersimpan")</x:f>
        <x:v>431000</x:v>
      </x:c>
      <x:c r="AH9" t="str">
        <x:v>Lainnya</x:v>
      </x:c>
      <x:c r="AI9" s="119" t="n">
        <x:f>AA10</x:f>
        <x:v>2421502</x:v>
      </x:c>
    </x:row>
    <x:row r="10" ht="2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X10" s="80" t="str">
        <x:v>Lainnya</x:v>
      </x:c>
      <x:c r="Y10" s="81" t="n">
        <x:f>SUMIFS(Transaksi!$F:$F,Transaksi!$A:$A,"&gt;="&amp;X10,Transaksi!$A:$A,"&lt;"&amp;X10+1,Transaksi!$G:$G,"Masuk",Transaksi!$J:$J,"Tersimpan")</x:f>
        <x:v>0</x:v>
      </x:c>
      <x:c r="Z10" s="81" t="n">
        <x:f>SUMIFS(Transaksi!$F:$F,Transaksi!$A:$A,"&gt;="&amp;X10,Transaksi!$A:$A,"&lt;"&amp;X10+1,Transaksi!$G:$G,"Keluar",Transaksi!$J:$J,"Tersimpan")</x:f>
        <x:v>0</x:v>
      </x:c>
      <x:c r="AA10" s="81" t="n">
        <x:f>SUMIFS(Transaksi!$F:$F,Transaksi!$E:$E,X10,Transaksi!$G:$G,"Keluar",Transaksi!$J:$J,"Tersimpan")</x:f>
        <x:v>2421502</x:v>
      </x:c>
      <x:c r="AB10" s="78"/>
      <x:c r="AC10" s="78" t="str">
        <x:v>Cash</x:v>
      </x:c>
      <x:c r="AD10" s="81" t="n">
        <x:f>IFERROR(INDEX(Rekening!$B$2:$B$100,MATCH(AC10,Rekening!$A$2:$A$100,0)),0)</x:f>
        <x:v>-487000</x:v>
      </x:c>
      <x:c r="AE10" t="str">
        <x:f>TEXT($X$2+5,"d mmm")</x:f>
        <x:v>6 Aug</x:v>
      </x:c>
      <x:c r="AF10" s="119" t="n">
        <x:f>SUMIFS(Transaksi!$F:$F,Transaksi!$A:$A,"&gt;="&amp;($X$2+5),Transaksi!$A:$A,"&lt;"&amp;($X$2+6),Transaksi!$G:$G,"Masuk",Transaksi!$J:$J,"Tersimpan")</x:f>
        <x:v>0</x:v>
      </x:c>
      <x:c r="AG10" s="119" t="n">
        <x:f>SUMIFS(Transaksi!$F:$F,Transaksi!$A:$A,"&gt;="&amp;($X$2+5),Transaksi!$A:$A,"&lt;"&amp;($X$2+6),Transaksi!$G:$G,"Keluar",Transaksi!$J:$J,"Tersimpan")</x:f>
        <x:v>40000</x:v>
      </x:c>
    </x:row>
    <x:row r="11" ht="20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X11" s="80" t="n">
        <x:f>$X$2+6</x:f>
        <x:v>46241</x:v>
      </x:c>
      <x:c r="Y11" s="81" t="n">
        <x:f>SUMIFS(Transaksi!$F:$F,Transaksi!$A:$A,"&gt;="&amp;X11,Transaksi!$A:$A,"&lt;"&amp;X11+1,Transaksi!$G:$G,"Masuk",Transaksi!$J:$J,"Tersimpan")</x:f>
        <x:v>0</x:v>
      </x:c>
      <x:c r="Z11" s="81" t="n">
        <x:f>SUMIFS(Transaksi!$F:$F,Transaksi!$A:$A,"&gt;="&amp;X11,Transaksi!$A:$A,"&lt;"&amp;X11+1,Transaksi!$G:$G,"Keluar",Transaksi!$J:$J,"Tersimpan")</x:f>
        <x:v>284000</x:v>
      </x:c>
      <x:c r="AA11" s="78"/>
      <x:c r="AB11" s="78"/>
      <x:c r="AC11" s="78" t="str">
        <x:v>DANA</x:v>
      </x:c>
      <x:c r="AD11" s="81" t="n">
        <x:f>IFERROR(INDEX(Rekening!$B$2:$B$100,MATCH(AC11,Rekening!$A$2:$A$100,0)),0)</x:f>
        <x:v>0</x:v>
      </x:c>
      <x:c r="AE11" t="str">
        <x:f>TEXT($X$2+6,"d mmm")</x:f>
        <x:v>7 Aug</x:v>
      </x:c>
      <x:c r="AF11" s="119" t="n">
        <x:f>SUMIFS(Transaksi!$F:$F,Transaksi!$A:$A,"&gt;="&amp;($X$2+6),Transaksi!$A:$A,"&lt;"&amp;($X$2+7),Transaksi!$G:$G,"Masuk",Transaksi!$J:$J,"Tersimpan")</x:f>
        <x:v>0</x:v>
      </x:c>
      <x:c r="AG11" s="119" t="n">
        <x:f>SUMIFS(Transaksi!$F:$F,Transaksi!$A:$A,"&gt;="&amp;($X$2+6),Transaksi!$A:$A,"&lt;"&amp;($X$2+7),Transaksi!$G:$G,"Keluar",Transaksi!$J:$J,"Tersimpan")</x:f>
        <x:v>284000</x:v>
      </x:c>
    </x:row>
    <x:row r="12" ht="20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X12" s="80" t="n">
        <x:f>$X$2+7</x:f>
        <x:v>46242</x:v>
      </x:c>
      <x:c r="Y12" s="81" t="n">
        <x:f>SUMIFS(Transaksi!$F:$F,Transaksi!$A:$A,"&gt;="&amp;X12,Transaksi!$A:$A,"&lt;"&amp;X12+1,Transaksi!$G:$G,"Masuk",Transaksi!$J:$J,"Tersimpan")</x:f>
        <x:v>0</x:v>
      </x:c>
      <x:c r="Z12" s="81" t="n">
        <x:f>SUMIFS(Transaksi!$F:$F,Transaksi!$A:$A,"&gt;="&amp;X12,Transaksi!$A:$A,"&lt;"&amp;X12+1,Transaksi!$G:$G,"Keluar",Transaksi!$J:$J,"Tersimpan")</x:f>
        <x:v>0</x:v>
      </x:c>
      <x:c r="AA12" s="78"/>
      <x:c r="AB12" s="78"/>
      <x:c r="AC12" s="78"/>
      <x:c r="AD12" s="78"/>
      <x:c r="AE12" t="str">
        <x:f>TEXT($X$2+7,"d mmm")</x:f>
        <x:v>8 Aug</x:v>
      </x:c>
      <x:c r="AF12" s="119" t="n">
        <x:f>SUMIFS(Transaksi!$F:$F,Transaksi!$A:$A,"&gt;="&amp;($X$2+7),Transaksi!$A:$A,"&lt;"&amp;($X$2+8),Transaksi!$G:$G,"Masuk",Transaksi!$J:$J,"Tersimpan")</x:f>
        <x:v>0</x:v>
      </x:c>
      <x:c r="AG12" s="119" t="n">
        <x:f>SUMIFS(Transaksi!$F:$F,Transaksi!$A:$A,"&gt;="&amp;($X$2+7),Transaksi!$A:$A,"&lt;"&amp;($X$2+8),Transaksi!$G:$G,"Keluar",Transaksi!$J:$J,"Tersimpan")</x:f>
        <x:v>0</x:v>
      </x:c>
    </x:row>
    <x:row r="13" ht="20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X13" s="80" t="n">
        <x:f>$X$2+8</x:f>
        <x:v>46243</x:v>
      </x:c>
      <x:c r="Y13" s="81" t="n">
        <x:f>SUMIFS(Transaksi!$F:$F,Transaksi!$A:$A,"&gt;="&amp;X13,Transaksi!$A:$A,"&lt;"&amp;X13+1,Transaksi!$G:$G,"Masuk",Transaksi!$J:$J,"Tersimpan")</x:f>
        <x:v>0</x:v>
      </x:c>
      <x:c r="Z13" s="81" t="n">
        <x:f>SUMIFS(Transaksi!$F:$F,Transaksi!$A:$A,"&gt;="&amp;X13,Transaksi!$A:$A,"&lt;"&amp;X13+1,Transaksi!$G:$G,"Keluar",Transaksi!$J:$J,"Tersimpan")</x:f>
        <x:v>50000</x:v>
      </x:c>
      <x:c r="AA13" s="78"/>
      <x:c r="AB13" s="78"/>
      <x:c r="AC13" s="78"/>
      <x:c r="AD13" s="78"/>
      <x:c r="AE13" t="str">
        <x:f>TEXT($X$2+8,"d mmm")</x:f>
        <x:v>9 Aug</x:v>
      </x:c>
      <x:c r="AF13" s="119" t="n">
        <x:f>SUMIFS(Transaksi!$F:$F,Transaksi!$A:$A,"&gt;="&amp;($X$2+8),Transaksi!$A:$A,"&lt;"&amp;($X$2+9),Transaksi!$G:$G,"Masuk",Transaksi!$J:$J,"Tersimpan")</x:f>
        <x:v>0</x:v>
      </x:c>
      <x:c r="AG13" s="119" t="n">
        <x:f>SUMIFS(Transaksi!$F:$F,Transaksi!$A:$A,"&gt;="&amp;($X$2+8),Transaksi!$A:$A,"&lt;"&amp;($X$2+9),Transaksi!$G:$G,"Keluar",Transaksi!$J:$J,"Tersimpan")</x:f>
        <x:v>50000</x:v>
      </x:c>
    </x:row>
    <x:row r="14" ht="20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X14" s="80" t="n">
        <x:f>$X$2+9</x:f>
        <x:v>46244</x:v>
      </x:c>
      <x:c r="Y14" s="81" t="n">
        <x:f>SUMIFS(Transaksi!$F:$F,Transaksi!$A:$A,"&gt;="&amp;X14,Transaksi!$A:$A,"&lt;"&amp;X14+1,Transaksi!$G:$G,"Masuk",Transaksi!$J:$J,"Tersimpan")</x:f>
        <x:v>0</x:v>
      </x:c>
      <x:c r="Z14" s="81" t="n">
        <x:f>SUMIFS(Transaksi!$F:$F,Transaksi!$A:$A,"&gt;="&amp;X14,Transaksi!$A:$A,"&lt;"&amp;X14+1,Transaksi!$G:$G,"Keluar",Transaksi!$J:$J,"Tersimpan")</x:f>
        <x:v>0</x:v>
      </x:c>
      <x:c r="AA14" s="78"/>
      <x:c r="AB14" s="78"/>
      <x:c r="AC14" s="78"/>
      <x:c r="AD14" s="78"/>
      <x:c r="AE14" t="str">
        <x:f>TEXT($X$2+9,"d mmm")</x:f>
        <x:v>10 Aug</x:v>
      </x:c>
      <x:c r="AF14" s="119" t="n">
        <x:f>SUMIFS(Transaksi!$F:$F,Transaksi!$A:$A,"&gt;="&amp;($X$2+9),Transaksi!$A:$A,"&lt;"&amp;($X$2+10),Transaksi!$G:$G,"Masuk",Transaksi!$J:$J,"Tersimpan")</x:f>
        <x:v>0</x:v>
      </x:c>
      <x:c r="AG14" s="119" t="n">
        <x:f>SUMIFS(Transaksi!$F:$F,Transaksi!$A:$A,"&gt;="&amp;($X$2+9),Transaksi!$A:$A,"&lt;"&amp;($X$2+10),Transaksi!$G:$G,"Keluar",Transaksi!$J:$J,"Tersimpan")</x:f>
        <x:v>0</x:v>
      </x:c>
    </x:row>
    <x:row r="15" ht="20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X15" s="80" t="n">
        <x:f>$X$2+10</x:f>
        <x:v>46245</x:v>
      </x:c>
      <x:c r="Y15" s="81" t="n">
        <x:f>SUMIFS(Transaksi!$F:$F,Transaksi!$A:$A,"&gt;="&amp;X15,Transaksi!$A:$A,"&lt;"&amp;X15+1,Transaksi!$G:$G,"Masuk",Transaksi!$J:$J,"Tersimpan")</x:f>
        <x:v>0</x:v>
      </x:c>
      <x:c r="Z15" s="81" t="n">
        <x:f>SUMIFS(Transaksi!$F:$F,Transaksi!$A:$A,"&gt;="&amp;X15,Transaksi!$A:$A,"&lt;"&amp;X15+1,Transaksi!$G:$G,"Keluar",Transaksi!$J:$J,"Tersimpan")</x:f>
        <x:v>0</x:v>
      </x:c>
      <x:c r="AA15" s="78"/>
      <x:c r="AB15" s="78"/>
      <x:c r="AC15" s="78"/>
      <x:c r="AD15" s="78"/>
      <x:c r="AE15" t="str">
        <x:f>TEXT($X$2+10,"d mmm")</x:f>
        <x:v>11 Aug</x:v>
      </x:c>
      <x:c r="AF15" s="119" t="n">
        <x:f>SUMIFS(Transaksi!$F:$F,Transaksi!$A:$A,"&gt;="&amp;($X$2+10),Transaksi!$A:$A,"&lt;"&amp;($X$2+11),Transaksi!$G:$G,"Masuk",Transaksi!$J:$J,"Tersimpan")</x:f>
        <x:v>0</x:v>
      </x:c>
      <x:c r="AG15" s="119" t="n">
        <x:f>SUMIFS(Transaksi!$F:$F,Transaksi!$A:$A,"&gt;="&amp;($X$2+10),Transaksi!$A:$A,"&lt;"&amp;($X$2+11),Transaksi!$G:$G,"Keluar",Transaksi!$J:$J,"Tersimpan")</x:f>
        <x:v>0</x:v>
      </x:c>
    </x:row>
    <x:row r="16" ht="20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X16" s="80" t="n">
        <x:f>$X$2+11</x:f>
        <x:v>46246</x:v>
      </x:c>
      <x:c r="Y16" s="81" t="n">
        <x:f>SUMIFS(Transaksi!$F:$F,Transaksi!$A:$A,"&gt;="&amp;X16,Transaksi!$A:$A,"&lt;"&amp;X16+1,Transaksi!$G:$G,"Masuk",Transaksi!$J:$J,"Tersimpan")</x:f>
        <x:v>60000</x:v>
      </x:c>
      <x:c r="Z16" s="81" t="n">
        <x:f>SUMIFS(Transaksi!$F:$F,Transaksi!$A:$A,"&gt;="&amp;X16,Transaksi!$A:$A,"&lt;"&amp;X16+1,Transaksi!$G:$G,"Keluar",Transaksi!$J:$J,"Tersimpan")</x:f>
        <x:v>274000</x:v>
      </x:c>
      <x:c r="AA16" s="78"/>
      <x:c r="AB16" s="78"/>
      <x:c r="AC16" s="78"/>
      <x:c r="AD16" s="78"/>
      <x:c r="AE16" t="str">
        <x:f>TEXT($X$2+11,"d mmm")</x:f>
        <x:v>12 Aug</x:v>
      </x:c>
      <x:c r="AF16" s="119" t="n">
        <x:f>SUMIFS(Transaksi!$F:$F,Transaksi!$A:$A,"&gt;="&amp;($X$2+11),Transaksi!$A:$A,"&lt;"&amp;($X$2+12),Transaksi!$G:$G,"Masuk",Transaksi!$J:$J,"Tersimpan")</x:f>
        <x:v>60000</x:v>
      </x:c>
      <x:c r="AG16" s="119" t="n">
        <x:f>SUMIFS(Transaksi!$F:$F,Transaksi!$A:$A,"&gt;="&amp;($X$2+11),Transaksi!$A:$A,"&lt;"&amp;($X$2+12),Transaksi!$G:$G,"Keluar",Transaksi!$J:$J,"Tersimpan")</x:f>
        <x:v>274000</x:v>
      </x:c>
    </x:row>
    <x:row r="17" ht="20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X17" s="80" t="n">
        <x:f>$X$2+12</x:f>
        <x:v>46247</x:v>
      </x:c>
      <x:c r="Y17" s="81" t="n">
        <x:f>SUMIFS(Transaksi!$F:$F,Transaksi!$A:$A,"&gt;="&amp;X17,Transaksi!$A:$A,"&lt;"&amp;X17+1,Transaksi!$G:$G,"Masuk",Transaksi!$J:$J,"Tersimpan")</x:f>
        <x:v>160000</x:v>
      </x:c>
      <x:c r="Z17" s="81" t="n">
        <x:f>SUMIFS(Transaksi!$F:$F,Transaksi!$A:$A,"&gt;="&amp;X17,Transaksi!$A:$A,"&lt;"&amp;X17+1,Transaksi!$G:$G,"Keluar",Transaksi!$J:$J,"Tersimpan")</x:f>
        <x:v>191000</x:v>
      </x:c>
      <x:c r="AA17" s="78"/>
      <x:c r="AB17" s="78"/>
      <x:c r="AC17" s="78"/>
      <x:c r="AD17" s="78"/>
      <x:c r="AE17" t="str">
        <x:f>TEXT($X$2+12,"d mmm")</x:f>
        <x:v>13 Aug</x:v>
      </x:c>
      <x:c r="AF17" s="119" t="n">
        <x:f>SUMIFS(Transaksi!$F:$F,Transaksi!$A:$A,"&gt;="&amp;($X$2+12),Transaksi!$A:$A,"&lt;"&amp;($X$2+13),Transaksi!$G:$G,"Masuk",Transaksi!$J:$J,"Tersimpan")</x:f>
        <x:v>160000</x:v>
      </x:c>
      <x:c r="AG17" s="119" t="n">
        <x:f>SUMIFS(Transaksi!$F:$F,Transaksi!$A:$A,"&gt;="&amp;($X$2+12),Transaksi!$A:$A,"&lt;"&amp;($X$2+13),Transaksi!$G:$G,"Keluar",Transaksi!$J:$J,"Tersimpan")</x:f>
        <x:v>191000</x:v>
      </x:c>
    </x:row>
    <x:row r="18" ht="20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X18" s="80" t="n">
        <x:f>$X$2+13</x:f>
        <x:v>46248</x:v>
      </x:c>
      <x:c r="Y18" s="81" t="n">
        <x:f>SUMIFS(Transaksi!$F:$F,Transaksi!$A:$A,"&gt;="&amp;X18,Transaksi!$A:$A,"&lt;"&amp;X18+1,Transaksi!$G:$G,"Masuk",Transaksi!$J:$J,"Tersimpan")</x:f>
        <x:v>0</x:v>
      </x:c>
      <x:c r="Z18" s="81" t="n">
        <x:f>SUMIFS(Transaksi!$F:$F,Transaksi!$A:$A,"&gt;="&amp;X18,Transaksi!$A:$A,"&lt;"&amp;X18+1,Transaksi!$G:$G,"Keluar",Transaksi!$J:$J,"Tersimpan")</x:f>
        <x:v>0</x:v>
      </x:c>
      <x:c r="AA18" s="78"/>
      <x:c r="AB18" s="78"/>
      <x:c r="AC18" s="78"/>
      <x:c r="AD18" s="78"/>
      <x:c r="AE18" t="str">
        <x:f>TEXT($X$2+13,"d mmm")</x:f>
        <x:v>14 Aug</x:v>
      </x:c>
      <x:c r="AF18" s="119" t="n">
        <x:f>SUMIFS(Transaksi!$F:$F,Transaksi!$A:$A,"&gt;="&amp;($X$2+13),Transaksi!$A:$A,"&lt;"&amp;($X$2+14),Transaksi!$G:$G,"Masuk",Transaksi!$J:$J,"Tersimpan")</x:f>
        <x:v>0</x:v>
      </x:c>
      <x:c r="AG18" s="119" t="n">
        <x:f>SUMIFS(Transaksi!$F:$F,Transaksi!$A:$A,"&gt;="&amp;($X$2+13),Transaksi!$A:$A,"&lt;"&amp;($X$2+14),Transaksi!$G:$G,"Keluar",Transaksi!$J:$J,"Tersimpan")</x:f>
        <x:v>0</x:v>
      </x:c>
    </x:row>
    <x:row r="19" ht="20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X19" s="80" t="n">
        <x:f>$X$2+14</x:f>
        <x:v>46249</x:v>
      </x:c>
      <x:c r="Y19" s="81" t="n">
        <x:f>SUMIFS(Transaksi!$F:$F,Transaksi!$A:$A,"&gt;="&amp;X19,Transaksi!$A:$A,"&lt;"&amp;X19+1,Transaksi!$G:$G,"Masuk",Transaksi!$J:$J,"Tersimpan")</x:f>
        <x:v>0</x:v>
      </x:c>
      <x:c r="Z19" s="81" t="n">
        <x:f>SUMIFS(Transaksi!$F:$F,Transaksi!$A:$A,"&gt;="&amp;X19,Transaksi!$A:$A,"&lt;"&amp;X19+1,Transaksi!$G:$G,"Keluar",Transaksi!$J:$J,"Tersimpan")</x:f>
        <x:v>0</x:v>
      </x:c>
      <x:c r="AA19" s="78"/>
      <x:c r="AB19" s="78"/>
      <x:c r="AC19" s="78"/>
      <x:c r="AD19" s="78"/>
      <x:c r="AE19" t="str">
        <x:f>TEXT($X$2+14,"d mmm")</x:f>
        <x:v>15 Aug</x:v>
      </x:c>
      <x:c r="AF19" s="119" t="n">
        <x:f>SUMIFS(Transaksi!$F:$F,Transaksi!$A:$A,"&gt;="&amp;($X$2+14),Transaksi!$A:$A,"&lt;"&amp;($X$2+15),Transaksi!$G:$G,"Masuk",Transaksi!$J:$J,"Tersimpan")</x:f>
        <x:v>0</x:v>
      </x:c>
      <x:c r="AG19" s="119" t="n">
        <x:f>SUMIFS(Transaksi!$F:$F,Transaksi!$A:$A,"&gt;="&amp;($X$2+14),Transaksi!$A:$A,"&lt;"&amp;($X$2+15),Transaksi!$G:$G,"Keluar",Transaksi!$J:$J,"Tersimpan")</x:f>
        <x:v>0</x:v>
      </x:c>
    </x:row>
    <x:row r="20" ht="20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X20" s="80" t="n">
        <x:f>$X$2+15</x:f>
        <x:v>46250</x:v>
      </x:c>
      <x:c r="Y20" s="81" t="n">
        <x:f>SUMIFS(Transaksi!$F:$F,Transaksi!$A:$A,"&gt;="&amp;X20,Transaksi!$A:$A,"&lt;"&amp;X20+1,Transaksi!$G:$G,"Masuk",Transaksi!$J:$J,"Tersimpan")</x:f>
        <x:v>460000</x:v>
      </x:c>
      <x:c r="Z20" s="81" t="n">
        <x:f>SUMIFS(Transaksi!$F:$F,Transaksi!$A:$A,"&gt;="&amp;X20,Transaksi!$A:$A,"&lt;"&amp;X20+1,Transaksi!$G:$G,"Keluar",Transaksi!$J:$J,"Tersimpan")</x:f>
        <x:v>521000</x:v>
      </x:c>
      <x:c r="AA20" s="78"/>
      <x:c r="AB20" s="78"/>
      <x:c r="AC20" s="78"/>
      <x:c r="AD20" s="78"/>
      <x:c r="AE20" t="str">
        <x:f>TEXT($X$2+15,"d mmm")</x:f>
        <x:v>16 Aug</x:v>
      </x:c>
      <x:c r="AF20" s="119" t="n">
        <x:f>SUMIFS(Transaksi!$F:$F,Transaksi!$A:$A,"&gt;="&amp;($X$2+15),Transaksi!$A:$A,"&lt;"&amp;($X$2+16),Transaksi!$G:$G,"Masuk",Transaksi!$J:$J,"Tersimpan")</x:f>
        <x:v>460000</x:v>
      </x:c>
      <x:c r="AG20" s="119" t="n">
        <x:f>SUMIFS(Transaksi!$F:$F,Transaksi!$A:$A,"&gt;="&amp;($X$2+15),Transaksi!$A:$A,"&lt;"&amp;($X$2+16),Transaksi!$G:$G,"Keluar",Transaksi!$J:$J,"Tersimpan")</x:f>
        <x:v>521000</x:v>
      </x:c>
    </x:row>
    <x:row r="21" ht="19" customHeight="1">
      <x:c r="A21" s="24"/>
      <x:c r="B21" s="77" t="str">
        <x:v>RINGKASAN KATEGORI</x:v>
      </x:c>
      <x:c r="C21" s="77"/>
      <x:c r="D21" s="77"/>
      <x:c r="E21" s="77"/>
      <x:c r="F21" s="77"/>
      <x:c r="G21" s="77"/>
      <x:c r="H21" s="77" t="str">
        <x:v>SALDO PER REKENING</x:v>
      </x:c>
      <x:c r="I21" s="77"/>
      <x:c r="J21" s="77"/>
      <x:c r="K21" s="77"/>
      <x:c r="L21" s="77" t="str">
        <x:v>KPI STATUS</x:v>
      </x:c>
      <x:c r="M21" s="77"/>
      <x:c r="N21" s="77"/>
      <x:c r="O21" s="77"/>
      <x:c r="P21" s="77"/>
      <x:c r="Q21" s="24"/>
      <x:c r="X21" s="80" t="n">
        <x:f>$X$2+16</x:f>
        <x:v>46251</x:v>
      </x:c>
      <x:c r="Y21" s="81" t="n">
        <x:f>SUMIFS(Transaksi!$F:$F,Transaksi!$A:$A,"&gt;="&amp;X21,Transaksi!$A:$A,"&lt;"&amp;X21+1,Transaksi!$G:$G,"Masuk",Transaksi!$J:$J,"Tersimpan")</x:f>
        <x:v>66000</x:v>
      </x:c>
      <x:c r="Z21" s="81" t="n">
        <x:f>SUMIFS(Transaksi!$F:$F,Transaksi!$A:$A,"&gt;="&amp;X21,Transaksi!$A:$A,"&lt;"&amp;X21+1,Transaksi!$G:$G,"Keluar",Transaksi!$J:$J,"Tersimpan")</x:f>
        <x:v>60000</x:v>
      </x:c>
      <x:c r="AA21" s="78"/>
      <x:c r="AB21" s="78"/>
      <x:c r="AC21" s="78"/>
      <x:c r="AD21" s="78"/>
      <x:c r="AE21" t="str">
        <x:f>TEXT($X$2+16,"d mmm")</x:f>
        <x:v>17 Aug</x:v>
      </x:c>
      <x:c r="AF21" s="119" t="n">
        <x:f>SUMIFS(Transaksi!$F:$F,Transaksi!$A:$A,"&gt;="&amp;($X$2+16),Transaksi!$A:$A,"&lt;"&amp;($X$2+17),Transaksi!$G:$G,"Masuk",Transaksi!$J:$J,"Tersimpan")</x:f>
        <x:v>66000</x:v>
      </x:c>
      <x:c r="AG21" s="119" t="n">
        <x:f>SUMIFS(Transaksi!$F:$F,Transaksi!$A:$A,"&gt;="&amp;($X$2+16),Transaksi!$A:$A,"&lt;"&amp;($X$2+17),Transaksi!$G:$G,"Keluar",Transaksi!$J:$J,"Tersimpan")</x:f>
        <x:v>60000</x:v>
      </x:c>
    </x:row>
    <x:row r="22" ht="19" customHeight="1">
      <x:c r="A22" s="24"/>
      <x:c r="B22" s="140" t="str">
        <x:v>Kategori</x:v>
      </x:c>
      <x:c r="C22" s="140" t="str">
        <x:v>Jumlah</x:v>
      </x:c>
      <x:c r="D22" s="140" t="str">
        <x:v>% Expense</x:v>
      </x:c>
      <x:c r="E22" s="140" t="str">
        <x:v>Transaksi</x:v>
      </x:c>
      <x:c r="F22" s="140" t="str">
        <x:v>Rata-rata</x:v>
      </x:c>
      <x:c r="G22" s="140" t="str">
        <x:v>Status</x:v>
      </x:c>
      <x:c r="H22" s="140" t="str">
        <x:v>Rekening</x:v>
      </x:c>
      <x:c r="I22" s="140" t="str">
        <x:v>Saldo</x:v>
      </x:c>
      <x:c r="J22" s="140" t="str">
        <x:v>% Total</x:v>
      </x:c>
      <x:c r="K22" s="140" t="str">
        <x:v>Status</x:v>
      </x:c>
      <x:c r="L22" s="140" t="str">
        <x:v>KPI</x:v>
      </x:c>
      <x:c r="M22" s="140" t="str">
        <x:v>Target</x:v>
      </x:c>
      <x:c r="N22" s="140" t="str">
        <x:v>Aktual</x:v>
      </x:c>
      <x:c r="O22" s="140" t="str">
        <x:v>Status</x:v>
      </x:c>
      <x:c r="P22" s="140" t="str">
        <x:v>Catatan</x:v>
      </x:c>
      <x:c r="Q22" s="24"/>
      <x:c r="X22" s="80" t="n">
        <x:f>$X$2+17</x:f>
        <x:v>46252</x:v>
      </x:c>
      <x:c r="Y22" s="81" t="n">
        <x:f>SUMIFS(Transaksi!$F:$F,Transaksi!$A:$A,"&gt;="&amp;X22,Transaksi!$A:$A,"&lt;"&amp;X22+1,Transaksi!$G:$G,"Masuk",Transaksi!$J:$J,"Tersimpan")</x:f>
        <x:v>373840</x:v>
      </x:c>
      <x:c r="Z22" s="81" t="n">
        <x:f>SUMIFS(Transaksi!$F:$F,Transaksi!$A:$A,"&gt;="&amp;X22,Transaksi!$A:$A,"&lt;"&amp;X22+1,Transaksi!$G:$G,"Keluar",Transaksi!$J:$J,"Tersimpan")</x:f>
        <x:v>190182</x:v>
      </x:c>
      <x:c r="AA22" s="78"/>
      <x:c r="AB22" s="78"/>
      <x:c r="AC22" s="78"/>
      <x:c r="AD22" s="78"/>
      <x:c r="AE22" t="str">
        <x:f>TEXT($X$2+17,"d mmm")</x:f>
        <x:v>18 Aug</x:v>
      </x:c>
      <x:c r="AF22" s="119" t="n">
        <x:f>SUMIFS(Transaksi!$F:$F,Transaksi!$A:$A,"&gt;="&amp;($X$2+17),Transaksi!$A:$A,"&lt;"&amp;($X$2+18),Transaksi!$G:$G,"Masuk",Transaksi!$J:$J,"Tersimpan")</x:f>
        <x:v>373840</x:v>
      </x:c>
      <x:c r="AG22" s="119" t="n">
        <x:f>SUMIFS(Transaksi!$F:$F,Transaksi!$A:$A,"&gt;="&amp;($X$2+17),Transaksi!$A:$A,"&lt;"&amp;($X$2+18),Transaksi!$G:$G,"Keluar",Transaksi!$J:$J,"Tersimpan")</x:f>
        <x:v>190182</x:v>
      </x:c>
    </x:row>
    <x:row r="23" ht="20" customHeight="1">
      <x:c r="A23" s="24"/>
      <x:c r="B23" s="131" t="str">
        <x:v>Belanja</x:v>
      </x:c>
      <x:c r="C23" s="132" t="n">
        <x:f>AA6</x:f>
        <x:v>762000</x:v>
      </x:c>
      <x:c r="D23" s="133" t="n">
        <x:f>IFERROR(C23/$AB$2,0)</x:f>
        <x:v>0.1758971504892457</x:v>
      </x:c>
      <x:c r="E23" s="131" t="n">
        <x:f>COUNTIFS(Transaksi!$E:$E,B23,Transaksi!$G:$G,"Keluar",Transaksi!$J:$J,"Tersimpan")</x:f>
        <x:v>8</x:v>
      </x:c>
      <x:c r="F23" s="132" t="n">
        <x:f>IFERROR(C23/E23,0)</x:f>
        <x:v>95250</x:v>
      </x:c>
      <x:c r="G23" s="141" t="str">
        <x:f>IF(C23=MAX($C$23:$C$27),"TOP","")</x:f>
      </x:c>
      <x:c r="H23" s="131" t="str">
        <x:f>AC5</x:f>
        <x:v>BCA</x:v>
      </x:c>
      <x:c r="I23" s="132" t="n">
        <x:f>AD5</x:f>
        <x:v>1051105</x:v>
      </x:c>
      <x:c r="J23" s="133" t="n">
        <x:f>IF(I23&lt;=0,0,IFERROR(I23/SUMIF(Rekening!$B$2:$B$100,"&gt;0",Rekening!$B$2:$B$100),0))</x:f>
        <x:v>0.8512605252991869</x:v>
      </x:c>
      <x:c r="K23" s="141" t="str">
        <x:f>IF(I23&lt;0,"NEGATIF",IF(I23=0,"KOSONG","AKTIF"))</x:f>
        <x:v>AKTIF</x:v>
      </x:c>
      <x:c r="L23" s="131" t="str">
        <x:v>Pemasukan</x:v>
      </x:c>
      <x:c r="M23" s="132" t="n">
        <x:f>$AB$2</x:f>
        <x:v>4332077</x:v>
      </x:c>
      <x:c r="N23" s="132" t="n">
        <x:f>$AB$1</x:f>
        <x:v>5079840</x:v>
      </x:c>
      <x:c r="O23" s="143" t="str">
        <x:f>IF(N23&gt;=M23,"●","○")</x:f>
        <x:v>●</x:v>
      </x:c>
      <x:c r="P23" s="131" t="str">
        <x:v>vs pengeluaran</x:v>
      </x:c>
      <x:c r="Q23" s="24"/>
      <x:c r="X23" s="80" t="n">
        <x:f>$X$2+18</x:f>
        <x:v>46253</x:v>
      </x:c>
      <x:c r="Y23" s="81" t="n">
        <x:f>SUMIFS(Transaksi!$F:$F,Transaksi!$A:$A,"&gt;="&amp;X23,Transaksi!$A:$A,"&lt;"&amp;X23+1,Transaksi!$G:$G,"Masuk",Transaksi!$J:$J,"Tersimpan")</x:f>
        <x:v>100000</x:v>
      </x:c>
      <x:c r="Z23" s="81" t="n">
        <x:f>SUMIFS(Transaksi!$F:$F,Transaksi!$A:$A,"&gt;="&amp;X23,Transaksi!$A:$A,"&lt;"&amp;X23+1,Transaksi!$G:$G,"Keluar",Transaksi!$J:$J,"Tersimpan")</x:f>
        <x:v>90000</x:v>
      </x:c>
      <x:c r="AA23" s="78"/>
      <x:c r="AB23" s="78"/>
      <x:c r="AC23" s="78"/>
      <x:c r="AD23" s="78"/>
      <x:c r="AE23" t="str">
        <x:f>TEXT($X$2+18,"d mmm")</x:f>
        <x:v>19 Aug</x:v>
      </x:c>
      <x:c r="AF23" s="119" t="n">
        <x:f>SUMIFS(Transaksi!$F:$F,Transaksi!$A:$A,"&gt;="&amp;($X$2+18),Transaksi!$A:$A,"&lt;"&amp;($X$2+19),Transaksi!$G:$G,"Masuk",Transaksi!$J:$J,"Tersimpan")</x:f>
        <x:v>100000</x:v>
      </x:c>
      <x:c r="AG23" s="119" t="n">
        <x:f>SUMIFS(Transaksi!$F:$F,Transaksi!$A:$A,"&gt;="&amp;($X$2+18),Transaksi!$A:$A,"&lt;"&amp;($X$2+19),Transaksi!$G:$G,"Keluar",Transaksi!$J:$J,"Tersimpan")</x:f>
        <x:v>90000</x:v>
      </x:c>
    </x:row>
    <x:row r="24" ht="20" customHeight="1">
      <x:c r="A24" s="24"/>
      <x:c r="B24" s="131" t="str">
        <x:v>Tagihan</x:v>
      </x:c>
      <x:c r="C24" s="132" t="n">
        <x:f>AA7</x:f>
        <x:v>509575</x:v>
      </x:c>
      <x:c r="D24" s="133" t="n">
        <x:f>IFERROR(C24/$AB$2,0)</x:f>
        <x:v>0.11762833393773933</x:v>
      </x:c>
      <x:c r="E24" s="131" t="n">
        <x:f>COUNTIFS(Transaksi!$E:$E,B24,Transaksi!$G:$G,"Keluar",Transaksi!$J:$J,"Tersimpan")</x:f>
        <x:v>5</x:v>
      </x:c>
      <x:c r="F24" s="132" t="n">
        <x:f>IFERROR(C24/E24,0)</x:f>
        <x:v>101915</x:v>
      </x:c>
      <x:c r="G24" s="141" t="str">
        <x:f>IF(C24=MAX($C$23:$C$27),"TOP","")</x:f>
      </x:c>
      <x:c r="H24" s="131" t="str">
        <x:f>AC6</x:f>
        <x:v>GOPAY</x:v>
      </x:c>
      <x:c r="I24" s="132" t="n">
        <x:f>AD6</x:f>
        <x:v>0</x:v>
      </x:c>
      <x:c r="J24" s="133" t="n">
        <x:f>IF(I24&lt;=0,0,IFERROR(I24/SUMIF(Rekening!$B$2:$B$100,"&gt;0",Rekening!$B$2:$B$100),0))</x:f>
        <x:v>0</x:v>
      </x:c>
      <x:c r="K24" s="141" t="str">
        <x:f>IF(I24&lt;0,"NEGATIF",IF(I24=0,"KOSONG","AKTIF"))</x:f>
        <x:v>KOSONG</x:v>
      </x:c>
      <x:c r="L24" s="131" t="str">
        <x:v>Arus Kas</x:v>
      </x:c>
      <x:c r="M24" s="132" t="n">
        <x:f>0</x:f>
        <x:v>0</x:v>
      </x:c>
      <x:c r="N24" s="132" t="n">
        <x:f>$AB$3</x:f>
        <x:v>747763</x:v>
      </x:c>
      <x:c r="O24" s="143" t="str">
        <x:f>IF(N24&gt;=M24,"●","○")</x:f>
        <x:v>●</x:v>
      </x:c>
      <x:c r="P24" s="131" t="str">
        <x:v>positif lebih baik</x:v>
      </x:c>
      <x:c r="Q24" s="24"/>
      <x:c r="X24" s="80" t="n">
        <x:f>$X$2+19</x:f>
        <x:v>46254</x:v>
      </x:c>
      <x:c r="Y24" s="81" t="n">
        <x:f>SUMIFS(Transaksi!$F:$F,Transaksi!$A:$A,"&gt;="&amp;X24,Transaksi!$A:$A,"&lt;"&amp;X24+1,Transaksi!$G:$G,"Masuk",Transaksi!$J:$J,"Tersimpan")</x:f>
        <x:v>0</x:v>
      </x:c>
      <x:c r="Z24" s="81" t="n">
        <x:f>SUMIFS(Transaksi!$F:$F,Transaksi!$A:$A,"&gt;="&amp;X24,Transaksi!$A:$A,"&lt;"&amp;X24+1,Transaksi!$G:$G,"Keluar",Transaksi!$J:$J,"Tersimpan")</x:f>
        <x:v>0</x:v>
      </x:c>
      <x:c r="AA24" s="78"/>
      <x:c r="AB24" s="78"/>
      <x:c r="AC24" s="78"/>
      <x:c r="AD24" s="78"/>
      <x:c r="AE24" t="str">
        <x:f>TEXT($X$2+19,"d mmm")</x:f>
        <x:v>20 Aug</x:v>
      </x:c>
      <x:c r="AF24" s="119" t="n">
        <x:f>SUMIFS(Transaksi!$F:$F,Transaksi!$A:$A,"&gt;="&amp;($X$2+19),Transaksi!$A:$A,"&lt;"&amp;($X$2+20),Transaksi!$G:$G,"Masuk",Transaksi!$J:$J,"Tersimpan")</x:f>
        <x:v>0</x:v>
      </x:c>
      <x:c r="AG24" s="119" t="n">
        <x:f>SUMIFS(Transaksi!$F:$F,Transaksi!$A:$A,"&gt;="&amp;($X$2+19),Transaksi!$A:$A,"&lt;"&amp;($X$2+20),Transaksi!$G:$G,"Keluar",Transaksi!$J:$J,"Tersimpan")</x:f>
        <x:v>0</x:v>
      </x:c>
    </x:row>
    <x:row r="25" ht="20" customHeight="1">
      <x:c r="A25" s="24"/>
      <x:c r="B25" s="131" t="str">
        <x:v>Transport</x:v>
      </x:c>
      <x:c r="C25" s="132" t="n">
        <x:f>AA8</x:f>
        <x:v>225000</x:v>
      </x:c>
      <x:c r="D25" s="133" t="n">
        <x:f>IFERROR(C25/$AB$2,0)</x:f>
        <x:v>0.05193813498698199</x:v>
      </x:c>
      <x:c r="E25" s="131" t="n">
        <x:f>COUNTIFS(Transaksi!$E:$E,B25,Transaksi!$G:$G,"Keluar",Transaksi!$J:$J,"Tersimpan")</x:f>
        <x:v>6</x:v>
      </x:c>
      <x:c r="F25" s="132" t="n">
        <x:f>IFERROR(C25/E25,0)</x:f>
        <x:v>37500</x:v>
      </x:c>
      <x:c r="G25" s="141" t="str">
        <x:f>IF(C25=MAX($C$23:$C$27),"TOP","")</x:f>
      </x:c>
      <x:c r="H25" s="131" t="str">
        <x:f>AC7</x:f>
        <x:v>QRIS</x:v>
      </x:c>
      <x:c r="I25" s="132" t="n">
        <x:f>AD7</x:f>
        <x:v>0</x:v>
      </x:c>
      <x:c r="J25" s="133" t="n">
        <x:f>IF(I25&lt;=0,0,IFERROR(I25/SUMIF(Rekening!$B$2:$B$100,"&gt;0",Rekening!$B$2:$B$100),0))</x:f>
        <x:v>0</x:v>
      </x:c>
      <x:c r="K25" s="141" t="str">
        <x:f>IF(I25&lt;0,"NEGATIF",IF(I25=0,"KOSONG","AKTIF"))</x:f>
        <x:v>KOSONG</x:v>
      </x:c>
      <x:c r="L25" s="131" t="str">
        <x:v>Saldo</x:v>
      </x:c>
      <x:c r="M25" s="132" t="n">
        <x:f>0</x:f>
        <x:v>0</x:v>
      </x:c>
      <x:c r="N25" s="132" t="n">
        <x:f>$AB$4</x:f>
        <x:v>747763</x:v>
      </x:c>
      <x:c r="O25" s="143" t="str">
        <x:f>IF(N25&gt;=M25,"●","○")</x:f>
        <x:v>●</x:v>
      </x:c>
      <x:c r="P25" s="131" t="str">
        <x:v>saldo total</x:v>
      </x:c>
      <x:c r="Q25" s="24"/>
      <x:c r="X25" s="80" t="n">
        <x:f>$X$2+20</x:f>
        <x:v>46255</x:v>
      </x:c>
      <x:c r="Y25" s="81" t="n">
        <x:f>SUMIFS(Transaksi!$F:$F,Transaksi!$A:$A,"&gt;="&amp;X25,Transaksi!$A:$A,"&lt;"&amp;X25+1,Transaksi!$G:$G,"Masuk",Transaksi!$J:$J,"Tersimpan")</x:f>
        <x:v>0</x:v>
      </x:c>
      <x:c r="Z25" s="81" t="n">
        <x:f>SUMIFS(Transaksi!$F:$F,Transaksi!$A:$A,"&gt;="&amp;X25,Transaksi!$A:$A,"&lt;"&amp;X25+1,Transaksi!$G:$G,"Keluar",Transaksi!$J:$J,"Tersimpan")</x:f>
        <x:v>0</x:v>
      </x:c>
      <x:c r="AA25" s="78"/>
      <x:c r="AB25" s="78"/>
      <x:c r="AC25" s="78"/>
      <x:c r="AD25" s="78"/>
      <x:c r="AE25" t="str">
        <x:f>TEXT($X$2+20,"d mmm")</x:f>
        <x:v>21 Aug</x:v>
      </x:c>
      <x:c r="AF25" s="119" t="n">
        <x:f>SUMIFS(Transaksi!$F:$F,Transaksi!$A:$A,"&gt;="&amp;($X$2+20),Transaksi!$A:$A,"&lt;"&amp;($X$2+21),Transaksi!$G:$G,"Masuk",Transaksi!$J:$J,"Tersimpan")</x:f>
        <x:v>0</x:v>
      </x:c>
      <x:c r="AG25" s="119" t="n">
        <x:f>SUMIFS(Transaksi!$F:$F,Transaksi!$A:$A,"&gt;="&amp;($X$2+20),Transaksi!$A:$A,"&lt;"&amp;($X$2+21),Transaksi!$G:$G,"Keluar",Transaksi!$J:$J,"Tersimpan")</x:f>
        <x:v>0</x:v>
      </x:c>
    </x:row>
    <x:row r="26" ht="20" customHeight="1">
      <x:c r="A26" s="24"/>
      <x:c r="B26" s="131" t="str">
        <x:v>Makan</x:v>
      </x:c>
      <x:c r="C26" s="132" t="n">
        <x:f>AA9</x:f>
        <x:v>414000</x:v>
      </x:c>
      <x:c r="D26" s="133" t="n">
        <x:f>IFERROR(C26/$AB$2,0)</x:f>
        <x:v>0.09556616837604687</x:v>
      </x:c>
      <x:c r="E26" s="131" t="n">
        <x:f>COUNTIFS(Transaksi!$E:$E,B26,Transaksi!$G:$G,"Keluar",Transaksi!$J:$J,"Tersimpan")</x:f>
        <x:v>15</x:v>
      </x:c>
      <x:c r="F26" s="132" t="n">
        <x:f>IFERROR(C26/E26,0)</x:f>
        <x:v>27600</x:v>
      </x:c>
      <x:c r="G26" s="141" t="str">
        <x:f>IF(C26=MAX($C$23:$C$27),"TOP","")</x:f>
      </x:c>
      <x:c r="H26" s="131" t="str">
        <x:f>AC8</x:f>
        <x:v>SUPERBANK</x:v>
      </x:c>
      <x:c r="I26" s="132" t="n">
        <x:f>AD8</x:f>
        <x:v>183658</x:v>
      </x:c>
      <x:c r="J26" s="133" t="n">
        <x:f>IF(I26&lt;=0,0,IFERROR(I26/SUMIF(Rekening!$B$2:$B$100,"&gt;0",Rekening!$B$2:$B$100),0))</x:f>
        <x:v>0.14873947470081303</x:v>
      </x:c>
      <x:c r="K26" s="141" t="str">
        <x:f>IF(I26&lt;0,"NEGATIF",IF(I26=0,"KOSONG","AKTIF"))</x:f>
        <x:v>AKTIF</x:v>
      </x:c>
      <x:c r="L26" s="135" t="str">
        <x:v>Transaksi</x:v>
      </x:c>
      <x:c r="M26" s="135" t="n">
        <x:f>1</x:f>
        <x:v>1</x:v>
      </x:c>
      <x:c r="N26" s="135" t="n">
        <x:f>$AB$5</x:f>
        <x:v>66</x:v>
      </x:c>
      <x:c r="O26" s="144" t="str">
        <x:f>IF(N26&gt;=M26,"●","○")</x:f>
        <x:v>●</x:v>
      </x:c>
      <x:c r="P26" s="135" t="str">
        <x:v>transaksi tersimpan</x:v>
      </x:c>
      <x:c r="Q26" s="24"/>
      <x:c r="X26" s="80" t="n">
        <x:f>$X$2+21</x:f>
        <x:v>46256</x:v>
      </x:c>
      <x:c r="Y26" s="81" t="n">
        <x:f>SUMIFS(Transaksi!$F:$F,Transaksi!$A:$A,"&gt;="&amp;X26,Transaksi!$A:$A,"&lt;"&amp;X26+1,Transaksi!$G:$G,"Masuk",Transaksi!$J:$J,"Tersimpan")</x:f>
        <x:v>0</x:v>
      </x:c>
      <x:c r="Z26" s="81" t="n">
        <x:f>SUMIFS(Transaksi!$F:$F,Transaksi!$A:$A,"&gt;="&amp;X26,Transaksi!$A:$A,"&lt;"&amp;X26+1,Transaksi!$G:$G,"Keluar",Transaksi!$J:$J,"Tersimpan")</x:f>
        <x:v>0</x:v>
      </x:c>
      <x:c r="AA26" s="78"/>
      <x:c r="AB26" s="78"/>
      <x:c r="AC26" s="78"/>
      <x:c r="AD26" s="78"/>
      <x:c r="AE26" t="str">
        <x:f>TEXT($X$2+21,"d mmm")</x:f>
        <x:v>22 Aug</x:v>
      </x:c>
      <x:c r="AF26" s="119" t="n">
        <x:f>SUMIFS(Transaksi!$F:$F,Transaksi!$A:$A,"&gt;="&amp;($X$2+21),Transaksi!$A:$A,"&lt;"&amp;($X$2+22),Transaksi!$G:$G,"Masuk",Transaksi!$J:$J,"Tersimpan")</x:f>
        <x:v>0</x:v>
      </x:c>
      <x:c r="AG26" s="119" t="n">
        <x:f>SUMIFS(Transaksi!$F:$F,Transaksi!$A:$A,"&gt;="&amp;($X$2+21),Transaksi!$A:$A,"&lt;"&amp;($X$2+22),Transaksi!$G:$G,"Keluar",Transaksi!$J:$J,"Tersimpan")</x:f>
        <x:v>0</x:v>
      </x:c>
    </x:row>
    <x:row r="27" ht="20" customHeight="1">
      <x:c r="A27" s="24"/>
      <x:c r="B27" s="135" t="str">
        <x:v>Lainnya</x:v>
      </x:c>
      <x:c r="C27" s="137" t="n">
        <x:f>AA10</x:f>
        <x:v>2421502</x:v>
      </x:c>
      <x:c r="D27" s="138" t="n">
        <x:f>IFERROR(C27/$AB$2,0)</x:f>
        <x:v>0.5589702122099861</x:v>
      </x:c>
      <x:c r="E27" s="135" t="n">
        <x:f>COUNTIFS(Transaksi!$E:$E,B27,Transaksi!$G:$G,"Keluar",Transaksi!$J:$J,"Tersimpan")</x:f>
        <x:v>17</x:v>
      </x:c>
      <x:c r="F27" s="137" t="n">
        <x:f>IFERROR(C27/E27,0)</x:f>
        <x:v>142441.29411764705</x:v>
      </x:c>
      <x:c r="G27" s="142" t="str">
        <x:f>IF(C27=MAX($C$23:$C$27),"TOP","")</x:f>
        <x:v>TOP</x:v>
      </x:c>
      <x:c r="H27" s="131" t="str">
        <x:f>AC9</x:f>
        <x:v>Transfer</x:v>
      </x:c>
      <x:c r="I27" s="132" t="n">
        <x:f>AD9</x:f>
        <x:v>0</x:v>
      </x:c>
      <x:c r="J27" s="133" t="n">
        <x:f>IF(I27&lt;=0,0,IFERROR(I27/SUMIF(Rekening!$B$2:$B$100,"&gt;0",Rekening!$B$2:$B$100),0))</x:f>
        <x:v>0</x:v>
      </x:c>
      <x:c r="K27" s="141" t="str">
        <x:f>IF(I27&lt;0,"NEGATIF",IF(I27=0,"KOSONG","AKTIF"))</x:f>
        <x:v>KOSONG</x:v>
      </x:c>
      <x:c r="L27" s="139"/>
      <x:c r="M27" s="139"/>
      <x:c r="N27" s="139"/>
      <x:c r="O27" s="139"/>
      <x:c r="P27" s="139"/>
      <x:c r="Q27" s="24"/>
      <x:c r="X27" s="80" t="n">
        <x:f>$X$2+22</x:f>
        <x:v>46257</x:v>
      </x:c>
      <x:c r="Y27" s="81" t="n">
        <x:f>SUMIFS(Transaksi!$F:$F,Transaksi!$A:$A,"&gt;="&amp;X27,Transaksi!$A:$A,"&lt;"&amp;X27+1,Transaksi!$G:$G,"Masuk",Transaksi!$J:$J,"Tersimpan")</x:f>
        <x:v>0</x:v>
      </x:c>
      <x:c r="Z27" s="81" t="n">
        <x:f>SUMIFS(Transaksi!$F:$F,Transaksi!$A:$A,"&gt;="&amp;X27,Transaksi!$A:$A,"&lt;"&amp;X27+1,Transaksi!$G:$G,"Keluar",Transaksi!$J:$J,"Tersimpan")</x:f>
        <x:v>0</x:v>
      </x:c>
      <x:c r="AA27" s="78"/>
      <x:c r="AB27" s="78"/>
      <x:c r="AC27" s="78"/>
      <x:c r="AD27" s="78"/>
      <x:c r="AE27" t="str">
        <x:f>TEXT($X$2+22,"d mmm")</x:f>
        <x:v>23 Aug</x:v>
      </x:c>
      <x:c r="AF27" s="119" t="n">
        <x:f>SUMIFS(Transaksi!$F:$F,Transaksi!$A:$A,"&gt;="&amp;($X$2+22),Transaksi!$A:$A,"&lt;"&amp;($X$2+23),Transaksi!$G:$G,"Masuk",Transaksi!$J:$J,"Tersimpan")</x:f>
        <x:v>0</x:v>
      </x:c>
      <x:c r="AG27" s="119" t="n">
        <x:f>SUMIFS(Transaksi!$F:$F,Transaksi!$A:$A,"&gt;="&amp;($X$2+22),Transaksi!$A:$A,"&lt;"&amp;($X$2+23),Transaksi!$G:$G,"Keluar",Transaksi!$J:$J,"Tersimpan")</x:f>
        <x:v>0</x:v>
      </x:c>
    </x:row>
    <x:row r="28" ht="20" customHeight="1">
      <x:c r="A28" s="24"/>
      <x:c r="B28" s="139"/>
      <x:c r="C28" s="139"/>
      <x:c r="D28" s="139"/>
      <x:c r="E28" s="139"/>
      <x:c r="F28" s="139"/>
      <x:c r="G28" s="139"/>
      <x:c r="H28" s="131" t="str">
        <x:f>AC10</x:f>
        <x:v>Cash</x:v>
      </x:c>
      <x:c r="I28" s="132" t="n">
        <x:f>AD10</x:f>
        <x:v>-487000</x:v>
      </x:c>
      <x:c r="J28" s="133" t="n">
        <x:f>IF(I28&lt;=0,0,IFERROR(I28/SUMIF(Rekening!$B$2:$B$100,"&gt;0",Rekening!$B$2:$B$100),0))</x:f>
        <x:v>0</x:v>
      </x:c>
      <x:c r="K28" s="141" t="str">
        <x:f>IF(I28&lt;0,"NEGATIF",IF(I28=0,"KOSONG","AKTIF"))</x:f>
        <x:v>NEGATIF</x:v>
      </x:c>
      <x:c r="L28" s="139"/>
      <x:c r="M28" s="139"/>
      <x:c r="N28" s="139"/>
      <x:c r="O28" s="139"/>
      <x:c r="P28" s="139"/>
      <x:c r="Q28" s="24"/>
      <x:c r="X28" s="80" t="n">
        <x:f>$X$2+23</x:f>
        <x:v>46258</x:v>
      </x:c>
      <x:c r="Y28" s="81" t="n">
        <x:f>SUMIFS(Transaksi!$F:$F,Transaksi!$A:$A,"&gt;="&amp;X28,Transaksi!$A:$A,"&lt;"&amp;X28+1,Transaksi!$G:$G,"Masuk",Transaksi!$J:$J,"Tersimpan")</x:f>
        <x:v>0</x:v>
      </x:c>
      <x:c r="Z28" s="81" t="n">
        <x:f>SUMIFS(Transaksi!$F:$F,Transaksi!$A:$A,"&gt;="&amp;X28,Transaksi!$A:$A,"&lt;"&amp;X28+1,Transaksi!$G:$G,"Keluar",Transaksi!$J:$J,"Tersimpan")</x:f>
        <x:v>0</x:v>
      </x:c>
      <x:c r="AA28" s="78"/>
      <x:c r="AB28" s="78"/>
      <x:c r="AC28" s="78"/>
      <x:c r="AD28" s="78"/>
      <x:c r="AE28" t="str">
        <x:f>TEXT($X$2+23,"d mmm")</x:f>
        <x:v>24 Aug</x:v>
      </x:c>
      <x:c r="AF28" s="119" t="n">
        <x:f>SUMIFS(Transaksi!$F:$F,Transaksi!$A:$A,"&gt;="&amp;($X$2+23),Transaksi!$A:$A,"&lt;"&amp;($X$2+24),Transaksi!$G:$G,"Masuk",Transaksi!$J:$J,"Tersimpan")</x:f>
        <x:v>0</x:v>
      </x:c>
      <x:c r="AG28" s="119" t="n">
        <x:f>SUMIFS(Transaksi!$F:$F,Transaksi!$A:$A,"&gt;="&amp;($X$2+23),Transaksi!$A:$A,"&lt;"&amp;($X$2+24),Transaksi!$G:$G,"Keluar",Transaksi!$J:$J,"Tersimpan")</x:f>
        <x:v>0</x:v>
      </x:c>
    </x:row>
    <x:row r="29" ht="20" customHeight="1">
      <x:c r="A29" s="24"/>
      <x:c r="B29" s="139"/>
      <x:c r="C29" s="139"/>
      <x:c r="D29" s="139"/>
      <x:c r="E29" s="139"/>
      <x:c r="F29" s="139"/>
      <x:c r="G29" s="139"/>
      <x:c r="H29" s="135" t="str">
        <x:f>AC11</x:f>
        <x:v>DANA</x:v>
      </x:c>
      <x:c r="I29" s="137" t="n">
        <x:f>AD11</x:f>
        <x:v>0</x:v>
      </x:c>
      <x:c r="J29" s="138" t="n">
        <x:f>IF(I29&lt;=0,0,IFERROR(I29/SUMIF(Rekening!$B$2:$B$100,"&gt;0",Rekening!$B$2:$B$100),0))</x:f>
        <x:v>0</x:v>
      </x:c>
      <x:c r="K29" s="142" t="str">
        <x:f>IF(I29&lt;0,"NEGATIF",IF(I29=0,"KOSONG","AKTIF"))</x:f>
        <x:v>KOSONG</x:v>
      </x:c>
      <x:c r="L29" s="139"/>
      <x:c r="M29" s="139"/>
      <x:c r="N29" s="139"/>
      <x:c r="O29" s="139"/>
      <x:c r="P29" s="139"/>
      <x:c r="Q29" s="24"/>
      <x:c r="X29" s="80" t="n">
        <x:f>$X$2+24</x:f>
        <x:v>46259</x:v>
      </x:c>
      <x:c r="Y29" s="81" t="n">
        <x:f>SUMIFS(Transaksi!$F:$F,Transaksi!$A:$A,"&gt;="&amp;X29,Transaksi!$A:$A,"&lt;"&amp;X29+1,Transaksi!$G:$G,"Masuk",Transaksi!$J:$J,"Tersimpan")</x:f>
        <x:v>0</x:v>
      </x:c>
      <x:c r="Z29" s="81" t="n">
        <x:f>SUMIFS(Transaksi!$F:$F,Transaksi!$A:$A,"&gt;="&amp;X29,Transaksi!$A:$A,"&lt;"&amp;X29+1,Transaksi!$G:$G,"Keluar",Transaksi!$J:$J,"Tersimpan")</x:f>
        <x:v>0</x:v>
      </x:c>
      <x:c r="AA29" s="78"/>
      <x:c r="AB29" s="78"/>
      <x:c r="AC29" s="78"/>
      <x:c r="AD29" s="78"/>
      <x:c r="AE29" t="str">
        <x:f>TEXT($X$2+24,"d mmm")</x:f>
        <x:v>25 Aug</x:v>
      </x:c>
      <x:c r="AF29" s="119" t="n">
        <x:f>SUMIFS(Transaksi!$F:$F,Transaksi!$A:$A,"&gt;="&amp;($X$2+24),Transaksi!$A:$A,"&lt;"&amp;($X$2+25),Transaksi!$G:$G,"Masuk",Transaksi!$J:$J,"Tersimpan")</x:f>
        <x:v>0</x:v>
      </x:c>
      <x:c r="AG29" s="119" t="n">
        <x:f>SUMIFS(Transaksi!$F:$F,Transaksi!$A:$A,"&gt;="&amp;($X$2+24),Transaksi!$A:$A,"&lt;"&amp;($X$2+25),Transaksi!$G:$G,"Keluar",Transaksi!$J:$J,"Tersimpan")</x:f>
        <x:v>0</x:v>
      </x:c>
    </x:row>
    <x:row r="30" ht="20" customHeight="1">
      <x:c r="A30" s="24"/>
      <x:c r="B30" s="107"/>
      <x:c r="C30" s="107"/>
      <x:c r="D30" s="107"/>
      <x:c r="E30" s="107"/>
      <x:c r="F30" s="107"/>
      <x:c r="G30" s="107"/>
      <x:c r="H30" s="107"/>
      <x:c r="I30" s="107"/>
      <x:c r="J30" s="107"/>
      <x:c r="K30" s="107"/>
      <x:c r="L30" s="107"/>
      <x:c r="M30" s="107"/>
      <x:c r="N30" s="107"/>
      <x:c r="O30" s="107"/>
      <x:c r="P30" s="107"/>
      <x:c r="Q30" s="24"/>
      <x:c r="X30" s="80" t="n">
        <x:f>$X$2+25</x:f>
        <x:v>46260</x:v>
      </x:c>
      <x:c r="Y30" s="81" t="n">
        <x:f>SUMIFS(Transaksi!$F:$F,Transaksi!$A:$A,"&gt;="&amp;X30,Transaksi!$A:$A,"&lt;"&amp;X30+1,Transaksi!$G:$G,"Masuk",Transaksi!$J:$J,"Tersimpan")</x:f>
        <x:v>0</x:v>
      </x:c>
      <x:c r="Z30" s="81" t="n">
        <x:f>SUMIFS(Transaksi!$F:$F,Transaksi!$A:$A,"&gt;="&amp;X30,Transaksi!$A:$A,"&lt;"&amp;X30+1,Transaksi!$G:$G,"Keluar",Transaksi!$J:$J,"Tersimpan")</x:f>
        <x:v>0</x:v>
      </x:c>
      <x:c r="AA30" s="78"/>
      <x:c r="AB30" s="78"/>
      <x:c r="AC30" s="78"/>
      <x:c r="AD30" s="78"/>
      <x:c r="AE30" t="str">
        <x:f>TEXT($X$2+25,"d mmm")</x:f>
        <x:v>26 Aug</x:v>
      </x:c>
      <x:c r="AF30" s="119" t="n">
        <x:f>SUMIFS(Transaksi!$F:$F,Transaksi!$A:$A,"&gt;="&amp;($X$2+25),Transaksi!$A:$A,"&lt;"&amp;($X$2+26),Transaksi!$G:$G,"Masuk",Transaksi!$J:$J,"Tersimpan")</x:f>
        <x:v>0</x:v>
      </x:c>
      <x:c r="AG30" s="119" t="n">
        <x:f>SUMIFS(Transaksi!$F:$F,Transaksi!$A:$A,"&gt;="&amp;($X$2+25),Transaksi!$A:$A,"&lt;"&amp;($X$2+26),Transaksi!$G:$G,"Keluar",Transaksi!$J:$J,"Tersimpan")</x:f>
        <x:v>0</x:v>
      </x:c>
    </x:row>
    <x:row r="31" ht="20" customHeight="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X31" s="80" t="n">
        <x:f>$X$2+26</x:f>
        <x:v>46261</x:v>
      </x:c>
      <x:c r="Y31" s="81" t="n">
        <x:f>SUMIFS(Transaksi!$F:$F,Transaksi!$A:$A,"&gt;="&amp;X31,Transaksi!$A:$A,"&lt;"&amp;X31+1,Transaksi!$G:$G,"Masuk",Transaksi!$J:$J,"Tersimpan")</x:f>
        <x:v>0</x:v>
      </x:c>
      <x:c r="Z31" s="81" t="n">
        <x:f>SUMIFS(Transaksi!$F:$F,Transaksi!$A:$A,"&gt;="&amp;X31,Transaksi!$A:$A,"&lt;"&amp;X31+1,Transaksi!$G:$G,"Keluar",Transaksi!$J:$J,"Tersimpan")</x:f>
        <x:v>0</x:v>
      </x:c>
      <x:c r="AA31" s="78"/>
      <x:c r="AB31" s="78"/>
      <x:c r="AC31" s="78"/>
      <x:c r="AD31" s="78"/>
      <x:c r="AE31" t="str">
        <x:f>TEXT($X$2+26,"d mmm")</x:f>
        <x:v>27 Aug</x:v>
      </x:c>
      <x:c r="AF31" s="119" t="n">
        <x:f>SUMIFS(Transaksi!$F:$F,Transaksi!$A:$A,"&gt;="&amp;($X$2+26),Transaksi!$A:$A,"&lt;"&amp;($X$2+27),Transaksi!$G:$G,"Masuk",Transaksi!$J:$J,"Tersimpan")</x:f>
        <x:v>0</x:v>
      </x:c>
      <x:c r="AG31" s="119" t="n">
        <x:f>SUMIFS(Transaksi!$F:$F,Transaksi!$A:$A,"&gt;="&amp;($X$2+26),Transaksi!$A:$A,"&lt;"&amp;($X$2+27),Transaksi!$G:$G,"Keluar",Transaksi!$J:$J,"Tersimpan")</x:f>
        <x:v>0</x:v>
      </x:c>
    </x:row>
    <x:row r="32" ht="20" customHeight="1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X32" s="80" t="n">
        <x:f>$X$2+27</x:f>
        <x:v>46262</x:v>
      </x:c>
      <x:c r="Y32" s="81" t="n">
        <x:f>SUMIFS(Transaksi!$F:$F,Transaksi!$A:$A,"&gt;="&amp;X32,Transaksi!$A:$A,"&lt;"&amp;X32+1,Transaksi!$G:$G,"Masuk",Transaksi!$J:$J,"Tersimpan")</x:f>
        <x:v>0</x:v>
      </x:c>
      <x:c r="Z32" s="81" t="n">
        <x:f>SUMIFS(Transaksi!$F:$F,Transaksi!$A:$A,"&gt;="&amp;X32,Transaksi!$A:$A,"&lt;"&amp;X32+1,Transaksi!$G:$G,"Keluar",Transaksi!$J:$J,"Tersimpan")</x:f>
        <x:v>0</x:v>
      </x:c>
      <x:c r="AA32" s="78"/>
      <x:c r="AB32" s="78"/>
      <x:c r="AC32" s="78"/>
      <x:c r="AD32" s="78"/>
      <x:c r="AE32" t="str">
        <x:f>TEXT($X$2+27,"d mmm")</x:f>
        <x:v>28 Aug</x:v>
      </x:c>
      <x:c r="AF32" s="119" t="n">
        <x:f>SUMIFS(Transaksi!$F:$F,Transaksi!$A:$A,"&gt;="&amp;($X$2+27),Transaksi!$A:$A,"&lt;"&amp;($X$2+28),Transaksi!$G:$G,"Masuk",Transaksi!$J:$J,"Tersimpan")</x:f>
        <x:v>0</x:v>
      </x:c>
      <x:c r="AG32" s="119" t="n">
        <x:f>SUMIFS(Transaksi!$F:$F,Transaksi!$A:$A,"&gt;="&amp;($X$2+27),Transaksi!$A:$A,"&lt;"&amp;($X$2+28),Transaksi!$G:$G,"Keluar",Transaksi!$J:$J,"Tersimpan")</x:f>
        <x:v>0</x:v>
      </x:c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X33" s="80" t="n">
        <x:f>$X$2+28</x:f>
        <x:v>46263</x:v>
      </x:c>
      <x:c r="Y33" s="81" t="n">
        <x:f>SUMIFS(Transaksi!$F:$F,Transaksi!$A:$A,"&gt;="&amp;X33,Transaksi!$A:$A,"&lt;"&amp;X33+1,Transaksi!$G:$G,"Masuk",Transaksi!$J:$J,"Tersimpan")</x:f>
        <x:v>0</x:v>
      </x:c>
      <x:c r="Z33" s="81" t="n">
        <x:f>SUMIFS(Transaksi!$F:$F,Transaksi!$A:$A,"&gt;="&amp;X33,Transaksi!$A:$A,"&lt;"&amp;X33+1,Transaksi!$G:$G,"Keluar",Transaksi!$J:$J,"Tersimpan")</x:f>
        <x:v>0</x:v>
      </x:c>
      <x:c r="AA33" s="78"/>
      <x:c r="AB33" s="78"/>
      <x:c r="AC33" s="78"/>
      <x:c r="AD33" s="78"/>
      <x:c r="AE33" t="str">
        <x:f>TEXT($X$2+28,"d mmm")</x:f>
        <x:v>29 Aug</x:v>
      </x:c>
      <x:c r="AF33" s="119" t="n">
        <x:f>SUMIFS(Transaksi!$F:$F,Transaksi!$A:$A,"&gt;="&amp;($X$2+28),Transaksi!$A:$A,"&lt;"&amp;($X$2+29),Transaksi!$G:$G,"Masuk",Transaksi!$J:$J,"Tersimpan")</x:f>
        <x:v>0</x:v>
      </x:c>
      <x:c r="AG33" s="119" t="n">
        <x:f>SUMIFS(Transaksi!$F:$F,Transaksi!$A:$A,"&gt;="&amp;($X$2+28),Transaksi!$A:$A,"&lt;"&amp;($X$2+29),Transaksi!$G:$G,"Keluar",Transaksi!$J:$J,"Tersimpan")</x:f>
        <x:v>0</x:v>
      </x:c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X34" s="80" t="n">
        <x:f>$X$2+29</x:f>
        <x:v>46264</x:v>
      </x:c>
      <x:c r="Y34" s="81" t="n">
        <x:f>SUMIFS(Transaksi!$F:$F,Transaksi!$A:$A,"&gt;="&amp;X34,Transaksi!$A:$A,"&lt;"&amp;X34+1,Transaksi!$G:$G,"Masuk",Transaksi!$J:$J,"Tersimpan")</x:f>
        <x:v>0</x:v>
      </x:c>
      <x:c r="Z34" s="81" t="n">
        <x:f>SUMIFS(Transaksi!$F:$F,Transaksi!$A:$A,"&gt;="&amp;X34,Transaksi!$A:$A,"&lt;"&amp;X34+1,Transaksi!$G:$G,"Keluar",Transaksi!$J:$J,"Tersimpan")</x:f>
        <x:v>0</x:v>
      </x:c>
      <x:c r="AA34" s="78"/>
      <x:c r="AB34" s="78"/>
      <x:c r="AC34" s="78"/>
      <x:c r="AD34" s="78"/>
      <x:c r="AE34" t="str">
        <x:f>TEXT($X$2+29,"d mmm")</x:f>
        <x:v>30 Aug</x:v>
      </x:c>
      <x:c r="AF34" s="119" t="n">
        <x:f>SUMIFS(Transaksi!$F:$F,Transaksi!$A:$A,"&gt;="&amp;($X$2+29),Transaksi!$A:$A,"&lt;"&amp;($X$2+30),Transaksi!$G:$G,"Masuk",Transaksi!$J:$J,"Tersimpan")</x:f>
        <x:v>0</x:v>
      </x:c>
      <x:c r="AG34" s="119" t="n">
        <x:f>SUMIFS(Transaksi!$F:$F,Transaksi!$A:$A,"&gt;="&amp;($X$2+29),Transaksi!$A:$A,"&lt;"&amp;($X$2+30),Transaksi!$G:$G,"Keluar",Transaksi!$J:$J,"Tersimpan")</x:f>
        <x:v>0</x:v>
      </x:c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X35" s="80" t="n">
        <x:f>$X$2+30</x:f>
        <x:v>46265</x:v>
      </x:c>
      <x:c r="Y35" s="81" t="n">
        <x:f>SUMIFS(Transaksi!$F:$F,Transaksi!$A:$A,"&gt;="&amp;X35,Transaksi!$A:$A,"&lt;"&amp;X35+1,Transaksi!$G:$G,"Masuk",Transaksi!$J:$J,"Tersimpan")</x:f>
        <x:v>0</x:v>
      </x:c>
      <x:c r="Z35" s="81" t="n">
        <x:f>SUMIFS(Transaksi!$F:$F,Transaksi!$A:$A,"&gt;="&amp;X35,Transaksi!$A:$A,"&lt;"&amp;X35+1,Transaksi!$G:$G,"Keluar",Transaksi!$J:$J,"Tersimpan")</x:f>
        <x:v>0</x:v>
      </x:c>
      <x:c r="AA35" s="78"/>
      <x:c r="AB35" s="78"/>
      <x:c r="AC35" s="78"/>
      <x:c r="AD35" s="78"/>
      <x:c r="AE35" t="str">
        <x:f>TEXT($X$2+30,"d mmm")</x:f>
        <x:v>31 Aug</x:v>
      </x:c>
      <x:c r="AF35" s="119" t="n">
        <x:f>SUMIFS(Transaksi!$F:$F,Transaksi!$A:$A,"&gt;="&amp;($X$2+30),Transaksi!$A:$A,"&lt;"&amp;($X$2+31),Transaksi!$G:$G,"Masuk",Transaksi!$J:$J,"Tersimpan")</x:f>
        <x:v>0</x:v>
      </x:c>
      <x:c r="AG35" s="119" t="n">
        <x:f>SUMIFS(Transaksi!$F:$F,Transaksi!$A:$A,"&gt;="&amp;($X$2+30),Transaksi!$A:$A,"&lt;"&amp;($X$2+31),Transaksi!$G:$G,"Keluar",Transaksi!$J:$J,"Tersimpan")</x:f>
        <x:v>0</x:v>
      </x:c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X36" s="78"/>
      <x:c r="Y36" s="78"/>
      <x:c r="Z36" s="78"/>
      <x:c r="AA36" s="78"/>
      <x:c r="AB36" s="78"/>
      <x:c r="AC36" s="78"/>
      <x:c r="AD36" s="78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X37" s="78"/>
      <x:c r="Y37" s="78"/>
      <x:c r="Z37" s="78"/>
      <x:c r="AA37" s="78"/>
      <x:c r="AB37" s="78"/>
      <x:c r="AC37" s="78"/>
      <x:c r="AD37" s="78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X38" s="78"/>
      <x:c r="Y38" s="78"/>
      <x:c r="Z38" s="78"/>
      <x:c r="AA38" s="78"/>
      <x:c r="AB38" s="78"/>
      <x:c r="AC38" s="78"/>
      <x:c r="AD38" s="78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X39" s="78"/>
      <x:c r="Y39" s="78"/>
      <x:c r="Z39" s="78"/>
      <x:c r="AA39" s="78"/>
      <x:c r="AB39" s="78"/>
      <x:c r="AC39" s="78"/>
      <x:c r="AD39" s="78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X40" s="78"/>
      <x:c r="Y40" s="78"/>
      <x:c r="Z40" s="78"/>
      <x:c r="AA40" s="78"/>
      <x:c r="AB40" s="78"/>
      <x:c r="AC40" s="78"/>
      <x:c r="AD40" s="78"/>
    </x:row>
  </x:sheetData>
  <x:mergeCells>
    <x:mergeCell ref="B1:P1"/>
    <x:mergeCell ref="B2:L2"/>
    <x:mergeCell ref="M2:P2"/>
    <x:mergeCell ref="N7:P7"/>
    <x:mergeCell ref="B8:G8"/>
    <x:mergeCell ref="H8:K8"/>
    <x:mergeCell ref="L8:P8"/>
    <x:mergeCell ref="B21:G21"/>
    <x:mergeCell ref="H21:K21"/>
    <x:mergeCell ref="L21:P21"/>
    <x:mergeCell ref="B4:D4"/>
    <x:mergeCell ref="B5:D6"/>
    <x:mergeCell ref="E4:G4"/>
    <x:mergeCell ref="E5:G6"/>
    <x:mergeCell ref="H4:J4"/>
    <x:mergeCell ref="H5:J6"/>
    <x:mergeCell ref="K4:M4"/>
    <x:mergeCell ref="K5:M6"/>
    <x:mergeCell ref="N4:P4"/>
    <x:mergeCell ref="N5:P6"/>
  </x:mergeCells>
  <x:conditionalFormatting sqref="I23:I29">
    <x:cfRule type="dataBar" priority="1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{97362D43-0D73-8066-C853-17EC21B0F1F5}</x14:id>
        </x:ext>
      </x:extLst>
    </x:cfRule>
  </x:conditionalFormatting>
  <x:conditionalFormatting sqref="D23:D27">
    <x:cfRule type="dataBar" priority="2">
      <x:dataBar>
        <x:cfvo type="min"/>
        <x:cfvo type="max"/>
        <x:color rgb="FF5F9E49"/>
      </x:dataBar>
      <x:extLst>
        <x:ext xmlns:x14="http://schemas.microsoft.com/office/spreadsheetml/2009/9/main" uri="{B025F937-C7B1-47D3-B67F-A62EFF666E3E}">
          <x14:id>{87727802-EFFA-A4C6-7F8D-09EB8695BBC7}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0965cbd6e98484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362D43-0D73-8066-C853-17EC21B0F1F5}">
            <x14:dataBar gradient="1">
              <x14:cfvo type="min"/>
              <x14:cfvo type="max"/>
              <x14:fillColor rgb="FF2E7D32"/>
            </x14:dataBar>
          </x14:cfRule>
          <xm:sqref>I23:I29</xm:sqref>
        </x14:conditionalFormatting>
        <x14:conditionalFormatting>
          <x14:cfRule type="dataBar" priority="2" id="{87727802-EFFA-A4C6-7F8D-09EB8695BBC7}">
            <x14:dataBar gradient="1">
              <x14:cfvo type="min"/>
              <x14:cfvo type="max"/>
              <x14:fillColor rgb="FF5F9E49"/>
            </x14:dataBar>
          </x14:cfRule>
          <xm:sqref>D23:D27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3">
        <x:v>1051105.0</x:v>
      </x:c>
    </x:row>
    <x:row r="3">
      <x:c r="A3" s="2" t="s">
        <x:v>3</x:v>
      </x:c>
      <x:c r="B3" s="3">
        <x:v>0.0</x:v>
      </x:c>
    </x:row>
    <x:row r="4">
      <x:c r="A4" s="2" t="s">
        <x:v>4</x:v>
      </x:c>
      <x:c r="B4" s="3">
        <x:v>0.0</x:v>
      </x:c>
    </x:row>
    <x:row r="5">
      <x:c r="A5" s="2" t="s">
        <x:v>5</x:v>
      </x:c>
      <x:c r="B5" s="3">
        <x:v>183658.0</x:v>
      </x:c>
    </x:row>
    <x:row r="6">
      <x:c r="A6" s="2" t="s">
        <x:v>6</x:v>
      </x:c>
      <x:c r="B6" s="3">
        <x:v>0.0</x:v>
      </x:c>
    </x:row>
    <x:row r="7">
      <x:c r="A7" s="2" t="s">
        <x:v>7</x:v>
      </x:c>
      <x:c r="B7" s="3">
        <x:v>-487000.0</x:v>
      </x:c>
    </x:row>
    <x:row r="8">
      <x:c r="A8" s="2" t="s">
        <x:v>8</x:v>
      </x:c>
      <x:c r="B8" s="3">
        <x:v>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7.25" customWidth="1"/>
    <x:col min="2" max="2" width="29" customWidth="1"/>
    <x:col min="3" max="3" width="13.5" customWidth="1"/>
    <x:col min="4" max="4" width="28.3799991607666" customWidth="1"/>
    <x:col min="6" max="6" width="14.380000114440918" customWidth="1"/>
    <x:col min="8" max="8" width="15.75" customWidth="1"/>
    <x:col min="9" max="9" width="22" customWidth="1"/>
    <x:col min="10" max="10" width="13.75" customWidth="1"/>
    <x:col min="11" max="11" width="15" customWidth="1"/>
  </x:cols>
  <x:sheetData>
    <x:row r="1" ht="22.5" customHeight="1">
      <x:c r="A1" s="4" t="s">
        <x:v>9</x:v>
      </x:c>
      <x:c r="B1" s="4" t="s">
        <x:v>10</x:v>
      </x:c>
      <x:c r="C1" s="4" t="s">
        <x:v>11</x:v>
      </x:c>
      <x:c r="D1" s="4" t="s">
        <x:v>12</x:v>
      </x:c>
      <x:c r="E1" s="4" t="s">
        <x:v>13</x:v>
      </x:c>
      <x:c r="F1" s="4" t="s">
        <x:v>14</x:v>
      </x:c>
      <x:c r="G1" s="4" t="s">
        <x:v>15</x:v>
      </x:c>
      <x:c r="H1" s="4" t="s">
        <x:v>0</x:v>
      </x:c>
      <x:c r="I1" s="4" t="s">
        <x:v>16</x:v>
      </x:c>
      <x:c r="J1" s="4" t="s">
        <x:v>17</x:v>
      </x:c>
      <x:c r="K1" s="4" t="s">
        <x:v>18</x:v>
      </x:c>
    </x:row>
    <x:row r="2" ht="22.5" customHeight="1">
      <x:c r="A2" s="5">
        <x:v>46234.78790671296</x:v>
      </x:c>
      <x:c r="B2" s="6" t="s">
        <x:v>19</x:v>
      </x:c>
      <x:c r="C2" s="7">
        <x:v>6.28196091283E11</x:v>
      </x:c>
      <x:c r="D2" s="6" t="s">
        <x:v>20</x:v>
      </x:c>
      <x:c r="E2" s="6" t="s">
        <x:v>21</x:v>
      </x:c>
      <x:c r="F2" s="7">
        <x:v>2690000.0</x:v>
      </x:c>
      <x:c r="G2" s="8" t="s">
        <x:v>22</x:v>
      </x:c>
      <x:c r="H2" s="8" t="s">
        <x:v>2</x:v>
      </x:c>
      <x:c r="I2" s="6" t="s">
        <x:v>23</x:v>
      </x:c>
      <x:c r="J2" s="8" t="s">
        <x:v>24</x:v>
      </x:c>
    </x:row>
    <x:row r="3" ht="22.5" customHeight="1">
      <x:c r="A3" s="5">
        <x:v>46234.841925625005</x:v>
      </x:c>
      <x:c r="B3" s="6" t="s">
        <x:v>19</x:v>
      </x:c>
      <x:c r="C3" s="7">
        <x:v>6.28196091283E11</x:v>
      </x:c>
      <x:c r="D3" s="6" t="s">
        <x:v>25</x:v>
      </x:c>
      <x:c r="E3" s="6" t="s">
        <x:v>26</x:v>
      </x:c>
      <x:c r="F3" s="7">
        <x:v>80000.0</x:v>
      </x:c>
      <x:c r="G3" s="8" t="s">
        <x:v>27</x:v>
      </x:c>
      <x:c r="H3" s="8" t="s">
        <x:v>2</x:v>
      </x:c>
      <x:c r="I3" s="6" t="s">
        <x:v>28</x:v>
      </x:c>
      <x:c r="J3" s="8" t="s">
        <x:v>29</x:v>
      </x:c>
      <x:c r="K3" s="9">
        <x:v>46234.844319930555</x:v>
      </x:c>
    </x:row>
    <x:row r="4" ht="22.5" customHeight="1">
      <x:c r="A4" s="5">
        <x:v>46234.84534424769</x:v>
      </x:c>
      <x:c r="B4" s="6" t="s">
        <x:v>19</x:v>
      </x:c>
      <x:c r="C4" s="7">
        <x:v>6.28196091283E11</x:v>
      </x:c>
      <x:c r="D4" s="6" t="s">
        <x:v>25</x:v>
      </x:c>
      <x:c r="E4" s="6" t="s">
        <x:v>26</x:v>
      </x:c>
      <x:c r="F4" s="7">
        <x:v>80000.0</x:v>
      </x:c>
      <x:c r="G4" s="8" t="s">
        <x:v>27</x:v>
      </x:c>
      <x:c r="H4" s="8" t="s">
        <x:v>2</x:v>
      </x:c>
      <x:c r="I4" s="6" t="s">
        <x:v>30</x:v>
      </x:c>
      <x:c r="J4" s="8" t="s">
        <x:v>24</x:v>
      </x:c>
    </x:row>
    <x:row r="5" ht="22.5" customHeight="1">
      <x:c r="A5" s="5">
        <x:v>46234.84959703704</x:v>
      </x:c>
      <x:c r="B5" s="6" t="s">
        <x:v>19</x:v>
      </x:c>
      <x:c r="C5" s="7">
        <x:v>6.39917877997E11</x:v>
      </x:c>
      <x:c r="D5" s="6" t="s">
        <x:v>31</x:v>
      </x:c>
      <x:c r="E5" s="6" t="s">
        <x:v>32</x:v>
      </x:c>
      <x:c r="F5" s="7">
        <x:v>1100000.0</x:v>
      </x:c>
      <x:c r="G5" s="8" t="s">
        <x:v>27</x:v>
      </x:c>
      <x:c r="H5" s="8" t="s">
        <x:v>2</x:v>
      </x:c>
      <x:c r="I5" s="6" t="s">
        <x:v>33</x:v>
      </x:c>
      <x:c r="J5" s="8" t="s">
        <x:v>24</x:v>
      </x:c>
    </x:row>
    <x:row r="6" ht="22.5" customHeight="1">
      <x:c r="A6" s="5">
        <x:v>46234.85321428241</x:v>
      </x:c>
      <x:c r="B6" s="6" t="s">
        <x:v>19</x:v>
      </x:c>
      <x:c r="C6" s="7">
        <x:v>6.39917877997E11</x:v>
      </x:c>
      <x:c r="D6" s="6" t="s">
        <x:v>34</x:v>
      </x:c>
      <x:c r="E6" s="6" t="s">
        <x:v>32</x:v>
      </x:c>
      <x:c r="F6" s="7">
        <x:v>338320.0</x:v>
      </x:c>
      <x:c r="G6" s="8" t="s">
        <x:v>27</x:v>
      </x:c>
      <x:c r="H6" s="8" t="s">
        <x:v>2</x:v>
      </x:c>
      <x:c r="I6" s="6" t="s">
        <x:v>35</x:v>
      </x:c>
      <x:c r="J6" s="8" t="s">
        <x:v>24</x:v>
      </x:c>
    </x:row>
    <x:row r="7" ht="22.5" customHeight="1">
      <x:c r="A7" s="5">
        <x:v>46235.63690430556</x:v>
      </x:c>
      <x:c r="B7" s="6" t="s">
        <x:v>19</x:v>
      </x:c>
      <x:c r="C7" s="7">
        <x:v>6.39917877997E11</x:v>
      </x:c>
      <x:c r="D7" s="6" t="s">
        <x:v>36</x:v>
      </x:c>
      <x:c r="E7" s="6" t="s">
        <x:v>37</x:v>
      </x:c>
      <x:c r="F7" s="7">
        <x:v>350000.0</x:v>
      </x:c>
      <x:c r="G7" s="8" t="s">
        <x:v>22</x:v>
      </x:c>
      <x:c r="H7" s="8" t="s">
        <x:v>2</x:v>
      </x:c>
      <x:c r="I7" s="6" t="s">
        <x:v>38</x:v>
      </x:c>
      <x:c r="J7" s="8" t="s">
        <x:v>24</x:v>
      </x:c>
    </x:row>
    <x:row r="8" ht="22.5" customHeight="1">
      <x:c r="A8" s="5">
        <x:v>46235.768927743055</x:v>
      </x:c>
      <x:c r="B8" s="6" t="s">
        <x:v>19</x:v>
      </x:c>
      <x:c r="C8" s="7">
        <x:v>6.39917877997E11</x:v>
      </x:c>
      <x:c r="D8" s="6" t="s">
        <x:v>39</x:v>
      </x:c>
      <x:c r="E8" s="6" t="s">
        <x:v>37</x:v>
      </x:c>
      <x:c r="F8" s="7">
        <x:v>350000.0</x:v>
      </x:c>
      <x:c r="G8" s="8" t="s">
        <x:v>22</x:v>
      </x:c>
      <x:c r="H8" s="8" t="s">
        <x:v>2</x:v>
      </x:c>
      <x:c r="I8" s="6" t="s">
        <x:v>40</x:v>
      </x:c>
      <x:c r="J8" s="8" t="s">
        <x:v>24</x:v>
      </x:c>
    </x:row>
    <x:row r="9" ht="22.5" customHeight="1">
      <x:c r="A9" s="5">
        <x:v>46235.823265520834</x:v>
      </x:c>
      <x:c r="B9" s="6" t="s">
        <x:v>19</x:v>
      </x:c>
      <x:c r="C9" s="7">
        <x:v>6.39917877997E11</x:v>
      </x:c>
      <x:c r="D9" s="6" t="s">
        <x:v>41</x:v>
      </x:c>
      <x:c r="E9" s="6" t="s">
        <x:v>42</x:v>
      </x:c>
      <x:c r="F9" s="7">
        <x:v>100000.0</x:v>
      </x:c>
      <x:c r="G9" s="8" t="s">
        <x:v>27</x:v>
      </x:c>
      <x:c r="H9" s="8" t="s">
        <x:v>2</x:v>
      </x:c>
      <x:c r="I9" s="6" t="s">
        <x:v>43</x:v>
      </x:c>
      <x:c r="J9" s="8" t="s">
        <x:v>24</x:v>
      </x:c>
    </x:row>
    <x:row r="10" ht="22.5" customHeight="1">
      <x:c r="A10" s="5">
        <x:v>46236.022411157406</x:v>
      </x:c>
      <x:c r="B10" s="6" t="s">
        <x:v>19</x:v>
      </x:c>
      <x:c r="C10" s="7">
        <x:v>6.28196091283E11</x:v>
      </x:c>
      <x:c r="D10" s="6" t="s">
        <x:v>44</x:v>
      </x:c>
      <x:c r="E10" s="6" t="s">
        <x:v>32</x:v>
      </x:c>
      <x:c r="F10" s="7">
        <x:v>68000.0</x:v>
      </x:c>
      <x:c r="G10" s="8" t="s">
        <x:v>27</x:v>
      </x:c>
      <x:c r="H10" s="8" t="s">
        <x:v>7</x:v>
      </x:c>
      <x:c r="I10" s="6" t="s">
        <x:v>45</x:v>
      </x:c>
      <x:c r="J10" s="8" t="s">
        <x:v>29</x:v>
      </x:c>
      <x:c r="K10" s="9">
        <x:v>46236.022585451385</x:v>
      </x:c>
    </x:row>
    <x:row r="11" ht="22.5" customHeight="1">
      <x:c r="A11" s="5">
        <x:v>46236.022758761574</x:v>
      </x:c>
      <x:c r="B11" s="6" t="s">
        <x:v>19</x:v>
      </x:c>
      <x:c r="C11" s="7">
        <x:v>6.28196091283E11</x:v>
      </x:c>
      <x:c r="D11" s="6" t="s">
        <x:v>46</x:v>
      </x:c>
      <x:c r="E11" s="6" t="s">
        <x:v>32</x:v>
      </x:c>
      <x:c r="F11" s="7">
        <x:v>68000.0</x:v>
      </x:c>
      <x:c r="G11" s="8" t="s">
        <x:v>27</x:v>
      </x:c>
      <x:c r="H11" s="8" t="s">
        <x:v>2</x:v>
      </x:c>
      <x:c r="I11" s="6" t="s">
        <x:v>47</x:v>
      </x:c>
      <x:c r="J11" s="8" t="s">
        <x:v>24</x:v>
      </x:c>
    </x:row>
    <x:row r="12" ht="22.5" customHeight="1">
      <x:c r="A12" s="5">
        <x:v>46236.02285141204</x:v>
      </x:c>
      <x:c r="B12" s="6" t="s">
        <x:v>19</x:v>
      </x:c>
      <x:c r="C12" s="7">
        <x:v>6.28196091283E11</x:v>
      </x:c>
      <x:c r="D12" s="6" t="s">
        <x:v>48</x:v>
      </x:c>
      <x:c r="E12" s="6" t="s">
        <x:v>49</x:v>
      </x:c>
      <x:c r="F12" s="7">
        <x:v>52000.0</x:v>
      </x:c>
      <x:c r="G12" s="8" t="s">
        <x:v>27</x:v>
      </x:c>
      <x:c r="H12" s="8" t="s">
        <x:v>2</x:v>
      </x:c>
      <x:c r="I12" s="6" t="s">
        <x:v>50</x:v>
      </x:c>
      <x:c r="J12" s="8" t="s">
        <x:v>24</x:v>
      </x:c>
    </x:row>
    <x:row r="13" ht="22.5" customHeight="1">
      <x:c r="A13" s="5">
        <x:v>46236.02297878472</x:v>
      </x:c>
      <x:c r="B13" s="6" t="s">
        <x:v>19</x:v>
      </x:c>
      <x:c r="C13" s="7">
        <x:v>6.28196091283E11</x:v>
      </x:c>
      <x:c r="D13" s="6" t="s">
        <x:v>51</x:v>
      </x:c>
      <x:c r="E13" s="6" t="s">
        <x:v>52</x:v>
      </x:c>
      <x:c r="F13" s="7">
        <x:v>15000.0</x:v>
      </x:c>
      <x:c r="G13" s="8" t="s">
        <x:v>27</x:v>
      </x:c>
      <x:c r="H13" s="8" t="s">
        <x:v>2</x:v>
      </x:c>
      <x:c r="I13" s="6" t="s">
        <x:v>53</x:v>
      </x:c>
      <x:c r="J13" s="8" t="s">
        <x:v>24</x:v>
      </x:c>
    </x:row>
    <x:row r="14" ht="22.5" customHeight="1">
      <x:c r="A14" s="5">
        <x:v>46236.03101363426</x:v>
      </x:c>
      <x:c r="B14" s="6" t="s">
        <x:v>19</x:v>
      </x:c>
      <x:c r="C14" s="7">
        <x:v>6.39917877997E11</x:v>
      </x:c>
      <x:c r="D14" s="6" t="s">
        <x:v>54</x:v>
      </x:c>
      <x:c r="E14" s="6" t="s">
        <x:v>42</x:v>
      </x:c>
      <x:c r="F14" s="7">
        <x:v>259575.0</x:v>
      </x:c>
      <x:c r="G14" s="8" t="s">
        <x:v>27</x:v>
      </x:c>
      <x:c r="H14" s="8" t="s">
        <x:v>2</x:v>
      </x:c>
      <x:c r="I14" s="6" t="s">
        <x:v>55</x:v>
      </x:c>
      <x:c r="J14" s="8" t="s">
        <x:v>24</x:v>
      </x:c>
    </x:row>
    <x:row r="15" ht="22.5" customHeight="1">
      <x:c r="A15" s="10">
        <x:v>46236.06097128472</x:v>
      </x:c>
      <x:c r="B15" s="11" t="s">
        <x:v>19</x:v>
      </x:c>
      <x:c r="C15" s="12">
        <x:v>6.28196091283E11</x:v>
      </x:c>
      <x:c r="D15" s="11" t="s">
        <x:v>56</x:v>
      </x:c>
      <x:c r="E15" s="11" t="s">
        <x:v>32</x:v>
      </x:c>
      <x:c r="F15" s="12">
        <x:v>60000.0</x:v>
      </x:c>
      <x:c r="G15" s="13" t="s">
        <x:v>27</x:v>
      </x:c>
      <x:c r="H15" s="13" t="s">
        <x:v>2</x:v>
      </x:c>
      <x:c r="I15" s="11" t="s">
        <x:v>57</x:v>
      </x:c>
      <x:c r="J15" s="13" t="s">
        <x:v>24</x:v>
      </x:c>
      <x:c r="K15" s="14"/>
    </x:row>
    <x:row r="16" ht="22.5" customHeight="1">
      <x:c r="A16" s="10">
        <x:v>46236.42196201389</x:v>
      </x:c>
      <x:c r="B16" s="11" t="s">
        <x:v>19</x:v>
      </x:c>
      <x:c r="C16" s="12">
        <x:v>6.28196091283E11</x:v>
      </x:c>
      <x:c r="D16" s="11" t="s">
        <x:v>58</x:v>
      </x:c>
      <x:c r="E16" s="11" t="s">
        <x:v>32</x:v>
      </x:c>
      <x:c r="F16" s="12">
        <x:v>10000.0</x:v>
      </x:c>
      <x:c r="G16" s="13" t="s">
        <x:v>27</x:v>
      </x:c>
      <x:c r="H16" s="13" t="s">
        <x:v>7</x:v>
      </x:c>
      <x:c r="I16" s="11" t="s">
        <x:v>59</x:v>
      </x:c>
      <x:c r="J16" s="13" t="s">
        <x:v>24</x:v>
      </x:c>
      <x:c r="K16" s="14"/>
    </x:row>
    <x:row r="17" ht="22.5" customHeight="1">
      <x:c r="A17" s="10">
        <x:v>46236.42592068287</x:v>
      </x:c>
      <x:c r="B17" s="11" t="s">
        <x:v>19</x:v>
      </x:c>
      <x:c r="C17" s="12">
        <x:v>6.28196091283E11</x:v>
      </x:c>
      <x:c r="D17" s="11" t="s">
        <x:v>60</x:v>
      </x:c>
      <x:c r="E17" s="11" t="s">
        <x:v>37</x:v>
      </x:c>
      <x:c r="F17" s="12">
        <x:v>60000.0</x:v>
      </x:c>
      <x:c r="G17" s="13" t="s">
        <x:v>22</x:v>
      </x:c>
      <x:c r="H17" s="13" t="s">
        <x:v>7</x:v>
      </x:c>
      <x:c r="I17" s="11" t="s">
        <x:v>61</x:v>
      </x:c>
      <x:c r="J17" s="13" t="s">
        <x:v>24</x:v>
      </x:c>
      <x:c r="K17" s="14"/>
    </x:row>
    <x:row r="18" ht="22.5" customHeight="1">
      <x:c r="A18" s="10">
        <x:v>46236.844874780094</x:v>
      </x:c>
      <x:c r="B18" s="11" t="s">
        <x:v>19</x:v>
      </x:c>
      <x:c r="C18" s="12">
        <x:v>6.28196091283E11</x:v>
      </x:c>
      <x:c r="D18" s="11" t="s">
        <x:v>60</x:v>
      </x:c>
      <x:c r="E18" s="11" t="s">
        <x:v>37</x:v>
      </x:c>
      <x:c r="F18" s="12">
        <x:v>60000.0</x:v>
      </x:c>
      <x:c r="G18" s="13" t="s">
        <x:v>22</x:v>
      </x:c>
      <x:c r="H18" s="13" t="s">
        <x:v>7</x:v>
      </x:c>
      <x:c r="I18" s="11" t="s">
        <x:v>62</x:v>
      </x:c>
      <x:c r="J18" s="13" t="s">
        <x:v>29</x:v>
      </x:c>
      <x:c r="K18" s="15">
        <x:v>46236.84529840278</x:v>
      </x:c>
    </x:row>
    <x:row r="19" ht="22.5" customHeight="1">
      <x:c r="A19" s="10">
        <x:v>46236.855948819444</x:v>
      </x:c>
      <x:c r="B19" s="11" t="s">
        <x:v>19</x:v>
      </x:c>
      <x:c r="C19" s="12">
        <x:v>6.39917877997E11</x:v>
      </x:c>
      <x:c r="D19" s="11" t="s">
        <x:v>63</x:v>
      </x:c>
      <x:c r="E19" s="11" t="s">
        <x:v>37</x:v>
      </x:c>
      <x:c r="F19" s="12">
        <x:v>150000.0</x:v>
      </x:c>
      <x:c r="G19" s="13" t="s">
        <x:v>22</x:v>
      </x:c>
      <x:c r="H19" s="13" t="s">
        <x:v>7</x:v>
      </x:c>
      <x:c r="I19" s="11" t="s">
        <x:v>64</x:v>
      </x:c>
      <x:c r="J19" s="13" t="s">
        <x:v>29</x:v>
      </x:c>
      <x:c r="K19" s="15">
        <x:v>46236.85606157407</x:v>
      </x:c>
    </x:row>
    <x:row r="20" ht="22.5" customHeight="1">
      <x:c r="A20" s="10">
        <x:v>46236.856173125</x:v>
      </x:c>
      <x:c r="B20" s="11" t="s">
        <x:v>19</x:v>
      </x:c>
      <x:c r="C20" s="12">
        <x:v>6.39917877997E11</x:v>
      </x:c>
      <x:c r="D20" s="11" t="s">
        <x:v>65</x:v>
      </x:c>
      <x:c r="E20" s="11" t="s">
        <x:v>37</x:v>
      </x:c>
      <x:c r="F20" s="12">
        <x:v>150000.0</x:v>
      </x:c>
      <x:c r="G20" s="13" t="s">
        <x:v>22</x:v>
      </x:c>
      <x:c r="H20" s="13" t="s">
        <x:v>2</x:v>
      </x:c>
      <x:c r="I20" s="11" t="s">
        <x:v>66</x:v>
      </x:c>
      <x:c r="J20" s="13" t="s">
        <x:v>24</x:v>
      </x:c>
      <x:c r="K20" s="15"/>
    </x:row>
    <x:row r="21" ht="22.5" customHeight="1">
      <x:c r="A21" s="10">
        <x:v>46237.89753836805</x:v>
      </x:c>
      <x:c r="B21" s="11" t="s">
        <x:v>19</x:v>
      </x:c>
      <x:c r="C21" s="12">
        <x:v>6.28196091283E11</x:v>
      </x:c>
      <x:c r="D21" s="11" t="s">
        <x:v>67</x:v>
      </x:c>
      <x:c r="E21" s="11" t="s">
        <x:v>52</x:v>
      </x:c>
      <x:c r="F21" s="12">
        <x:v>15000.0</x:v>
      </x:c>
      <x:c r="G21" s="13" t="s">
        <x:v>27</x:v>
      </x:c>
      <x:c r="H21" s="13" t="s">
        <x:v>7</x:v>
      </x:c>
      <x:c r="I21" s="11" t="s">
        <x:v>68</x:v>
      </x:c>
      <x:c r="J21" s="13" t="s">
        <x:v>24</x:v>
      </x:c>
      <x:c r="K21" s="15"/>
    </x:row>
    <x:row r="22" ht="22.5" customHeight="1">
      <x:c r="A22" s="10">
        <x:v>46238.03804946759</x:v>
      </x:c>
      <x:c r="B22" s="11" t="s">
        <x:v>19</x:v>
      </x:c>
      <x:c r="C22" s="12">
        <x:v>6.39917877997E11</x:v>
      </x:c>
      <x:c r="D22" s="11" t="s">
        <x:v>69</x:v>
      </x:c>
      <x:c r="E22" s="11" t="s">
        <x:v>37</x:v>
      </x:c>
      <x:c r="F22" s="12">
        <x:v>200000.0</x:v>
      </x:c>
      <x:c r="G22" s="13" t="s">
        <x:v>22</x:v>
      </x:c>
      <x:c r="H22" s="13" t="s">
        <x:v>2</x:v>
      </x:c>
      <x:c r="I22" s="11" t="s">
        <x:v>70</x:v>
      </x:c>
      <x:c r="J22" s="13" t="s">
        <x:v>29</x:v>
      </x:c>
      <x:c r="K22" s="15">
        <x:v>46238.04486376158</x:v>
      </x:c>
    </x:row>
    <x:row r="23" ht="22.5" customHeight="1">
      <x:c r="A23" s="10">
        <x:v>46238.03821561343</x:v>
      </x:c>
      <x:c r="B23" s="11" t="s">
        <x:v>19</x:v>
      </x:c>
      <x:c r="C23" s="12">
        <x:v>6.39917877997E11</x:v>
      </x:c>
      <x:c r="D23" s="11" t="s">
        <x:v>71</x:v>
      </x:c>
      <x:c r="E23" s="11" t="s">
        <x:v>42</x:v>
      </x:c>
      <x:c r="F23" s="12">
        <x:v>75000.0</x:v>
      </x:c>
      <x:c r="G23" s="13" t="s">
        <x:v>27</x:v>
      </x:c>
      <x:c r="H23" s="13" t="s">
        <x:v>8</x:v>
      </x:c>
      <x:c r="I23" s="11" t="s">
        <x:v>72</x:v>
      </x:c>
      <x:c r="J23" s="13" t="s">
        <x:v>29</x:v>
      </x:c>
      <x:c r="K23" s="15">
        <x:v>46238.040114918986</x:v>
      </x:c>
    </x:row>
    <x:row r="24" ht="22.5" customHeight="1">
      <x:c r="A24" s="10">
        <x:v>46238.49404046296</x:v>
      </x:c>
      <x:c r="B24" s="11" t="s">
        <x:v>19</x:v>
      </x:c>
      <x:c r="C24" s="12">
        <x:v>6.28196091283E11</x:v>
      </x:c>
      <x:c r="D24" s="11" t="s">
        <x:v>60</x:v>
      </x:c>
      <x:c r="E24" s="11" t="s">
        <x:v>37</x:v>
      </x:c>
      <x:c r="F24" s="12">
        <x:v>60000.0</x:v>
      </x:c>
      <x:c r="G24" s="13" t="s">
        <x:v>22</x:v>
      </x:c>
      <x:c r="H24" s="13" t="s">
        <x:v>7</x:v>
      </x:c>
      <x:c r="I24" s="11" t="s">
        <x:v>73</x:v>
      </x:c>
      <x:c r="J24" s="13" t="s">
        <x:v>24</x:v>
      </x:c>
      <x:c r="K24" s="15"/>
    </x:row>
    <x:row r="25" ht="22.5" customHeight="1">
      <x:c r="A25" s="10">
        <x:v>46238.49420015047</x:v>
      </x:c>
      <x:c r="B25" s="11" t="s">
        <x:v>19</x:v>
      </x:c>
      <x:c r="C25" s="12">
        <x:v>6.28196091283E11</x:v>
      </x:c>
      <x:c r="D25" s="11" t="s">
        <x:v>74</x:v>
      </x:c>
      <x:c r="E25" s="11" t="s">
        <x:v>52</x:v>
      </x:c>
      <x:c r="F25" s="12">
        <x:v>18000.0</x:v>
      </x:c>
      <x:c r="G25" s="13" t="s">
        <x:v>27</x:v>
      </x:c>
      <x:c r="H25" s="13" t="s">
        <x:v>7</x:v>
      </x:c>
      <x:c r="I25" s="11" t="s">
        <x:v>75</x:v>
      </x:c>
      <x:c r="J25" s="13" t="s">
        <x:v>24</x:v>
      </x:c>
      <x:c r="K25" s="15"/>
    </x:row>
    <x:row r="26" ht="22.5" customHeight="1">
      <x:c r="A26" s="10">
        <x:v>46238.702292002316</x:v>
      </x:c>
      <x:c r="B26" s="11" t="s">
        <x:v>19</x:v>
      </x:c>
      <x:c r="C26" s="12">
        <x:v>6.39917877997E11</x:v>
      </x:c>
      <x:c r="D26" s="11" t="s">
        <x:v>69</x:v>
      </x:c>
      <x:c r="E26" s="11" t="s">
        <x:v>37</x:v>
      </x:c>
      <x:c r="F26" s="12">
        <x:v>200000.0</x:v>
      </x:c>
      <x:c r="G26" s="13" t="s">
        <x:v>22</x:v>
      </x:c>
      <x:c r="H26" s="13" t="s">
        <x:v>2</x:v>
      </x:c>
      <x:c r="I26" s="11" t="s">
        <x:v>76</x:v>
      </x:c>
      <x:c r="J26" s="13" t="s">
        <x:v>29</x:v>
      </x:c>
      <x:c r="K26" s="15">
        <x:v>46238.73089612268</x:v>
      </x:c>
    </x:row>
    <x:row r="27" ht="22.5" customHeight="1">
      <x:c r="A27" s="10">
        <x:v>46238.70389509259</x:v>
      </x:c>
      <x:c r="B27" s="11" t="s">
        <x:v>19</x:v>
      </x:c>
      <x:c r="C27" s="12">
        <x:v>6.39917877997E11</x:v>
      </x:c>
      <x:c r="D27" s="11" t="s">
        <x:v>69</x:v>
      </x:c>
      <x:c r="E27" s="11" t="s">
        <x:v>37</x:v>
      </x:c>
      <x:c r="F27" s="12">
        <x:v>200000.0</x:v>
      </x:c>
      <x:c r="G27" s="13" t="s">
        <x:v>22</x:v>
      </x:c>
      <x:c r="H27" s="13" t="s">
        <x:v>2</x:v>
      </x:c>
      <x:c r="I27" s="11" t="s">
        <x:v>76</x:v>
      </x:c>
      <x:c r="J27" s="13" t="s">
        <x:v>29</x:v>
      </x:c>
      <x:c r="K27" s="15">
        <x:v>46238.70936552083</x:v>
      </x:c>
    </x:row>
    <x:row r="28" ht="22.5" customHeight="1">
      <x:c r="A28" s="10">
        <x:v>46238.70887298611</x:v>
      </x:c>
      <x:c r="B28" s="11" t="s">
        <x:v>19</x:v>
      </x:c>
      <x:c r="C28" s="12">
        <x:v>6.39917877997E11</x:v>
      </x:c>
      <x:c r="D28" s="11" t="s">
        <x:v>77</x:v>
      </x:c>
      <x:c r="E28" s="11" t="s">
        <x:v>42</x:v>
      </x:c>
      <x:c r="F28" s="12">
        <x:v>75000.0</x:v>
      </x:c>
      <x:c r="G28" s="13" t="s">
        <x:v>27</x:v>
      </x:c>
      <x:c r="H28" s="13" t="s">
        <x:v>2</x:v>
      </x:c>
      <x:c r="I28" s="11" t="s">
        <x:v>78</x:v>
      </x:c>
      <x:c r="J28" s="13" t="s">
        <x:v>24</x:v>
      </x:c>
      <x:c r="K28" s="15"/>
    </x:row>
    <x:row r="29" ht="22.5" customHeight="1">
      <x:c r="A29" s="10">
        <x:v>46237.7047337963</x:v>
      </x:c>
      <x:c r="B29" s="11" t="s">
        <x:v>19</x:v>
      </x:c>
      <x:c r="C29" s="12">
        <x:v>6.39917877997E11</x:v>
      </x:c>
      <x:c r="D29" s="11" t="s">
        <x:v>69</x:v>
      </x:c>
      <x:c r="E29" s="11" t="s">
        <x:v>37</x:v>
      </x:c>
      <x:c r="F29" s="12">
        <x:v>200000.0</x:v>
      </x:c>
      <x:c r="G29" s="13" t="s">
        <x:v>22</x:v>
      </x:c>
      <x:c r="H29" s="13" t="s">
        <x:v>2</x:v>
      </x:c>
      <x:c r="I29" s="11" t="s">
        <x:v>79</x:v>
      </x:c>
      <x:c r="J29" s="13" t="s">
        <x:v>24</x:v>
      </x:c>
      <x:c r="K29" s="15"/>
    </x:row>
    <x:row r="30" ht="22.5" customHeight="1">
      <x:c r="A30" s="10">
        <x:v>46238.764763125</x:v>
      </x:c>
      <x:c r="B30" s="11" t="s">
        <x:v>19</x:v>
      </x:c>
      <x:c r="C30" s="12">
        <x:v>6.28196091283E11</x:v>
      </x:c>
      <x:c r="D30" s="11" t="s">
        <x:v>80</x:v>
      </x:c>
      <x:c r="E30" s="11" t="s">
        <x:v>32</x:v>
      </x:c>
      <x:c r="F30" s="12">
        <x:v>10000.0</x:v>
      </x:c>
      <x:c r="G30" s="13" t="s">
        <x:v>27</x:v>
      </x:c>
      <x:c r="H30" s="13" t="s">
        <x:v>7</x:v>
      </x:c>
      <x:c r="I30" s="11" t="s">
        <x:v>81</x:v>
      </x:c>
      <x:c r="J30" s="13" t="s">
        <x:v>24</x:v>
      </x:c>
      <x:c r="K30" s="15"/>
    </x:row>
    <x:row r="31" ht="22.5" customHeight="1">
      <x:c r="A31" s="10">
        <x:v>46239.03078450232</x:v>
      </x:c>
      <x:c r="B31" s="11" t="s">
        <x:v>19</x:v>
      </x:c>
      <x:c r="C31" s="12">
        <x:v>6.28196091283E11</x:v>
      </x:c>
      <x:c r="D31" s="11" t="s">
        <x:v>82</x:v>
      </x:c>
      <x:c r="E31" s="11" t="s">
        <x:v>32</x:v>
      </x:c>
      <x:c r="F31" s="12">
        <x:v>6000.0</x:v>
      </x:c>
      <x:c r="G31" s="13" t="s">
        <x:v>27</x:v>
      </x:c>
      <x:c r="H31" s="13" t="s">
        <x:v>7</x:v>
      </x:c>
      <x:c r="I31" s="11" t="s">
        <x:v>83</x:v>
      </x:c>
      <x:c r="J31" s="13" t="s">
        <x:v>24</x:v>
      </x:c>
      <x:c r="K31" s="15"/>
    </x:row>
    <x:row r="32" ht="22.5" customHeight="1">
      <x:c r="A32" s="10">
        <x:v>46239.89003520833</x:v>
      </x:c>
      <x:c r="B32" s="11" t="s">
        <x:v>19</x:v>
      </x:c>
      <x:c r="C32" s="12">
        <x:v>6.28196091283E11</x:v>
      </x:c>
      <x:c r="D32" s="11" t="s">
        <x:v>84</x:v>
      </x:c>
      <x:c r="E32" s="11" t="s">
        <x:v>52</x:v>
      </x:c>
      <x:c r="F32" s="12">
        <x:v>40000.0</x:v>
      </x:c>
      <x:c r="G32" s="13" t="s">
        <x:v>27</x:v>
      </x:c>
      <x:c r="H32" s="13" t="s">
        <x:v>7</x:v>
      </x:c>
      <x:c r="I32" s="11" t="s">
        <x:v>85</x:v>
      </x:c>
      <x:c r="J32" s="13" t="s">
        <x:v>24</x:v>
      </x:c>
      <x:c r="K32" s="15"/>
    </x:row>
    <x:row r="33" ht="22.5" customHeight="1">
      <x:c r="A33" s="10">
        <x:v>46239.8904215625</x:v>
      </x:c>
      <x:c r="B33" s="11" t="s">
        <x:v>19</x:v>
      </x:c>
      <x:c r="C33" s="12">
        <x:v>6.28196091283E11</x:v>
      </x:c>
      <x:c r="D33" s="11" t="s">
        <x:v>86</x:v>
      </x:c>
      <x:c r="E33" s="11" t="s">
        <x:v>52</x:v>
      </x:c>
      <x:c r="F33" s="12">
        <x:v>15000.0</x:v>
      </x:c>
      <x:c r="G33" s="13" t="s">
        <x:v>27</x:v>
      </x:c>
      <x:c r="H33" s="13" t="s">
        <x:v>7</x:v>
      </x:c>
      <x:c r="I33" s="11" t="s">
        <x:v>87</x:v>
      </x:c>
      <x:c r="J33" s="13" t="s">
        <x:v>24</x:v>
      </x:c>
      <x:c r="K33" s="15"/>
    </x:row>
    <x:row r="34" ht="22.5" customHeight="1">
      <x:c r="A34" s="10">
        <x:v>46239.89053079861</x:v>
      </x:c>
      <x:c r="B34" s="11" t="s">
        <x:v>19</x:v>
      </x:c>
      <x:c r="C34" s="12">
        <x:v>6.28196091283E11</x:v>
      </x:c>
      <x:c r="D34" s="11" t="s">
        <x:v>88</x:v>
      </x:c>
      <x:c r="E34" s="11" t="s">
        <x:v>52</x:v>
      </x:c>
      <x:c r="F34" s="12">
        <x:v>10000.0</x:v>
      </x:c>
      <x:c r="G34" s="13" t="s">
        <x:v>27</x:v>
      </x:c>
      <x:c r="H34" s="13" t="s">
        <x:v>7</x:v>
      </x:c>
      <x:c r="I34" s="11" t="s">
        <x:v>89</x:v>
      </x:c>
      <x:c r="J34" s="13" t="s">
        <x:v>24</x:v>
      </x:c>
      <x:c r="K34" s="15"/>
    </x:row>
    <x:row r="35" ht="22.5" customHeight="1">
      <x:c r="A35" s="10">
        <x:v>46239.890753217594</x:v>
      </x:c>
      <x:c r="B35" s="11" t="s">
        <x:v>19</x:v>
      </x:c>
      <x:c r="C35" s="12">
        <x:v>6.28196091283E11</x:v>
      </x:c>
      <x:c r="D35" s="11" t="s">
        <x:v>90</x:v>
      </x:c>
      <x:c r="E35" s="11" t="s">
        <x:v>26</x:v>
      </x:c>
      <x:c r="F35" s="12">
        <x:v>60000.0</x:v>
      </x:c>
      <x:c r="G35" s="13" t="s">
        <x:v>27</x:v>
      </x:c>
      <x:c r="H35" s="13" t="s">
        <x:v>7</x:v>
      </x:c>
      <x:c r="I35" s="11" t="s">
        <x:v>91</x:v>
      </x:c>
      <x:c r="J35" s="13" t="s">
        <x:v>24</x:v>
      </x:c>
      <x:c r="K35" s="15"/>
    </x:row>
    <x:row r="36" ht="22.5" customHeight="1">
      <x:c r="A36" s="10">
        <x:v>46239.891126111106</x:v>
      </x:c>
      <x:c r="B36" s="11" t="s">
        <x:v>19</x:v>
      </x:c>
      <x:c r="C36" s="12">
        <x:v>6.28196091283E11</x:v>
      </x:c>
      <x:c r="D36" s="11" t="s">
        <x:v>92</x:v>
      </x:c>
      <x:c r="E36" s="11" t="s">
        <x:v>26</x:v>
      </x:c>
      <x:c r="F36" s="12">
        <x:v>300000.0</x:v>
      </x:c>
      <x:c r="G36" s="13" t="s">
        <x:v>27</x:v>
      </x:c>
      <x:c r="H36" s="13" t="s">
        <x:v>2</x:v>
      </x:c>
      <x:c r="I36" s="11" t="s">
        <x:v>93</x:v>
      </x:c>
      <x:c r="J36" s="13" t="s">
        <x:v>24</x:v>
      </x:c>
      <x:c r="K36" s="15"/>
    </x:row>
    <x:row r="37" ht="22.5" customHeight="1">
      <x:c r="A37" s="10">
        <x:v>46240.78160949074</x:v>
      </x:c>
      <x:c r="B37" s="11" t="s">
        <x:v>19</x:v>
      </x:c>
      <x:c r="C37" s="12">
        <x:v>6.28196091283E11</x:v>
      </x:c>
      <x:c r="D37" s="11" t="s">
        <x:v>94</x:v>
      </x:c>
      <x:c r="E37" s="11" t="s">
        <x:v>32</x:v>
      </x:c>
      <x:c r="F37" s="12">
        <x:v>20000.0</x:v>
      </x:c>
      <x:c r="G37" s="13" t="s">
        <x:v>27</x:v>
      </x:c>
      <x:c r="H37" s="13" t="s">
        <x:v>7</x:v>
      </x:c>
      <x:c r="I37" s="11" t="s">
        <x:v>95</x:v>
      </x:c>
      <x:c r="J37" s="13" t="s">
        <x:v>24</x:v>
      </x:c>
      <x:c r="K37" s="15"/>
    </x:row>
    <x:row r="38" ht="22.5" customHeight="1">
      <x:c r="A38" s="10">
        <x:v>46240.78181241898</x:v>
      </x:c>
      <x:c r="B38" s="11" t="s">
        <x:v>19</x:v>
      </x:c>
      <x:c r="C38" s="12">
        <x:v>6.28196091283E11</x:v>
      </x:c>
      <x:c r="D38" s="11" t="s">
        <x:v>96</x:v>
      </x:c>
      <x:c r="E38" s="11" t="s">
        <x:v>49</x:v>
      </x:c>
      <x:c r="F38" s="12">
        <x:v>20000.0</x:v>
      </x:c>
      <x:c r="G38" s="13" t="s">
        <x:v>27</x:v>
      </x:c>
      <x:c r="H38" s="13" t="s">
        <x:v>7</x:v>
      </x:c>
      <x:c r="I38" s="11" t="s">
        <x:v>97</x:v>
      </x:c>
      <x:c r="J38" s="13" t="s">
        <x:v>24</x:v>
      </x:c>
      <x:c r="K38" s="15"/>
    </x:row>
    <x:row r="39" ht="22.5" customHeight="1">
      <x:c r="A39" s="10">
        <x:v>46241.80781895833</x:v>
      </x:c>
      <x:c r="B39" s="11" t="s">
        <x:v>19</x:v>
      </x:c>
      <x:c r="C39" s="12">
        <x:v>6.39917877997E11</x:v>
      </x:c>
      <x:c r="D39" s="11" t="s">
        <x:v>98</x:v>
      </x:c>
      <x:c r="E39" s="11" t="s">
        <x:v>52</x:v>
      </x:c>
      <x:c r="F39" s="12">
        <x:v>129000.0</x:v>
      </x:c>
      <x:c r="G39" s="13" t="s">
        <x:v>27</x:v>
      </x:c>
      <x:c r="H39" s="13" t="s">
        <x:v>2</x:v>
      </x:c>
      <x:c r="I39" s="11" t="s">
        <x:v>99</x:v>
      </x:c>
      <x:c r="J39" s="13" t="s">
        <x:v>24</x:v>
      </x:c>
      <x:c r="K39" s="15"/>
    </x:row>
    <x:row r="40" ht="22.5" customHeight="1">
      <x:c r="A40" s="10">
        <x:v>46241.924035289354</x:v>
      </x:c>
      <x:c r="B40" s="11" t="s">
        <x:v>19</x:v>
      </x:c>
      <x:c r="C40" s="12">
        <x:v>6.39917877997E11</x:v>
      </x:c>
      <x:c r="D40" s="11" t="s">
        <x:v>100</x:v>
      </x:c>
      <x:c r="E40" s="11" t="s">
        <x:v>52</x:v>
      </x:c>
      <x:c r="F40" s="12">
        <x:v>20000.0</x:v>
      </x:c>
      <x:c r="G40" s="13" t="s">
        <x:v>27</x:v>
      </x:c>
      <x:c r="H40" s="13" t="s">
        <x:v>7</x:v>
      </x:c>
      <x:c r="I40" s="11" t="s">
        <x:v>101</x:v>
      </x:c>
      <x:c r="J40" s="13" t="s">
        <x:v>24</x:v>
      </x:c>
      <x:c r="K40" s="15"/>
    </x:row>
    <x:row r="41" ht="22.5" customHeight="1">
      <x:c r="A41" s="10">
        <x:v>46241.924219039356</x:v>
      </x:c>
      <x:c r="B41" s="11" t="s">
        <x:v>19</x:v>
      </x:c>
      <x:c r="C41" s="12">
        <x:v>6.39917877997E11</x:v>
      </x:c>
      <x:c r="D41" s="11" t="s">
        <x:v>102</x:v>
      </x:c>
      <x:c r="E41" s="11" t="s">
        <x:v>26</x:v>
      </x:c>
      <x:c r="F41" s="12">
        <x:v>102000.0</x:v>
      </x:c>
      <x:c r="G41" s="13" t="s">
        <x:v>27</x:v>
      </x:c>
      <x:c r="H41" s="13" t="s">
        <x:v>2</x:v>
      </x:c>
      <x:c r="I41" s="11" t="s">
        <x:v>103</x:v>
      </x:c>
      <x:c r="J41" s="13" t="s">
        <x:v>24</x:v>
      </x:c>
      <x:c r="K41" s="15"/>
    </x:row>
    <x:row r="42" ht="22.5" customHeight="1">
      <x:c r="A42" s="10">
        <x:v>46241.92567674768</x:v>
      </x:c>
      <x:c r="B42" s="11" t="s">
        <x:v>19</x:v>
      </x:c>
      <x:c r="C42" s="12">
        <x:v>6.39917877997E11</x:v>
      </x:c>
      <x:c r="D42" s="11" t="s">
        <x:v>104</x:v>
      </x:c>
      <x:c r="E42" s="11" t="s">
        <x:v>52</x:v>
      </x:c>
      <x:c r="F42" s="12">
        <x:v>20000.0</x:v>
      </x:c>
      <x:c r="G42" s="13" t="s">
        <x:v>27</x:v>
      </x:c>
      <x:c r="H42" s="13" t="s">
        <x:v>7</x:v>
      </x:c>
      <x:c r="I42" s="11" t="s">
        <x:v>105</x:v>
      </x:c>
      <x:c r="J42" s="13" t="s">
        <x:v>24</x:v>
      </x:c>
      <x:c r="K42" s="15"/>
    </x:row>
    <x:row r="43" ht="22.5" customHeight="1">
      <x:c r="A43" s="10">
        <x:v>46241.92577898148</x:v>
      </x:c>
      <x:c r="B43" s="11" t="s">
        <x:v>19</x:v>
      </x:c>
      <x:c r="C43" s="12">
        <x:v>6.39917877997E11</x:v>
      </x:c>
      <x:c r="D43" s="11" t="s">
        <x:v>106</x:v>
      </x:c>
      <x:c r="E43" s="11" t="s">
        <x:v>49</x:v>
      </x:c>
      <x:c r="F43" s="12">
        <x:v>13000.0</x:v>
      </x:c>
      <x:c r="G43" s="13" t="s">
        <x:v>27</x:v>
      </x:c>
      <x:c r="H43" s="13" t="s">
        <x:v>7</x:v>
      </x:c>
      <x:c r="I43" s="11" t="s">
        <x:v>107</x:v>
      </x:c>
      <x:c r="J43" s="13" t="s">
        <x:v>24</x:v>
      </x:c>
      <x:c r="K43" s="15"/>
    </x:row>
    <x:row r="44" ht="22.5" customHeight="1">
      <x:c r="A44" s="10">
        <x:v>46243.5827337963</x:v>
      </x:c>
      <x:c r="B44" s="11" t="s">
        <x:v>19</x:v>
      </x:c>
      <x:c r="C44" s="12">
        <x:v>6.28196091283E11</x:v>
      </x:c>
      <x:c r="D44" s="11" t="s">
        <x:v>108</x:v>
      </x:c>
      <x:c r="E44" s="11" t="s">
        <x:v>49</x:v>
      </x:c>
      <x:c r="F44" s="12">
        <x:v>50000.0</x:v>
      </x:c>
      <x:c r="G44" s="13" t="s">
        <x:v>27</x:v>
      </x:c>
      <x:c r="H44" s="13" t="s">
        <x:v>7</x:v>
      </x:c>
      <x:c r="I44" s="11" t="s">
        <x:v>109</x:v>
      </x:c>
      <x:c r="J44" s="13" t="s">
        <x:v>24</x:v>
      </x:c>
      <x:c r="K44" s="15"/>
    </x:row>
    <x:row r="45" ht="22.5" customHeight="1">
      <x:c r="A45" s="10">
        <x:v>46246.01945802083</x:v>
      </x:c>
      <x:c r="B45" s="11" t="s">
        <x:v>19</x:v>
      </x:c>
      <x:c r="C45" s="12">
        <x:v>6.39917877997E11</x:v>
      </x:c>
      <x:c r="D45" s="11" t="s">
        <x:v>110</x:v>
      </x:c>
      <x:c r="E45" s="11" t="s">
        <x:v>32</x:v>
      </x:c>
      <x:c r="F45" s="12">
        <x:v>15000.0</x:v>
      </x:c>
      <x:c r="G45" s="13" t="s">
        <x:v>27</x:v>
      </x:c>
      <x:c r="H45" s="13" t="s">
        <x:v>7</x:v>
      </x:c>
      <x:c r="I45" s="11" t="s">
        <x:v>111</x:v>
      </x:c>
      <x:c r="J45" s="13" t="s">
        <x:v>24</x:v>
      </x:c>
      <x:c r="K45" s="15"/>
    </x:row>
    <x:row r="46" ht="22.5" customHeight="1">
      <x:c r="A46" s="10">
        <x:v>46246.019612523145</x:v>
      </x:c>
      <x:c r="B46" s="11" t="s">
        <x:v>19</x:v>
      </x:c>
      <x:c r="C46" s="12">
        <x:v>6.39917877997E11</x:v>
      </x:c>
      <x:c r="D46" s="11" t="s">
        <x:v>112</x:v>
      </x:c>
      <x:c r="E46" s="11" t="s">
        <x:v>52</x:v>
      </x:c>
      <x:c r="F46" s="12">
        <x:v>41000.0</x:v>
      </x:c>
      <x:c r="G46" s="13" t="s">
        <x:v>27</x:v>
      </x:c>
      <x:c r="H46" s="13" t="s">
        <x:v>7</x:v>
      </x:c>
      <x:c r="I46" s="11" t="s">
        <x:v>113</x:v>
      </x:c>
      <x:c r="J46" s="13" t="s">
        <x:v>24</x:v>
      </x:c>
      <x:c r="K46" s="15"/>
    </x:row>
    <x:row r="47" ht="22.5" customHeight="1">
      <x:c r="A47" s="10">
        <x:v>46246.41284961806</x:v>
      </x:c>
      <x:c r="B47" s="11" t="s">
        <x:v>19</x:v>
      </x:c>
      <x:c r="C47" s="12">
        <x:v>6.28196091283E11</x:v>
      </x:c>
      <x:c r="D47" s="11" t="s">
        <x:v>114</x:v>
      </x:c>
      <x:c r="E47" s="11" t="s">
        <x:v>32</x:v>
      </x:c>
      <x:c r="F47" s="12">
        <x:v>5.0</x:v>
      </x:c>
      <x:c r="G47" s="13" t="s">
        <x:v>27</x:v>
      </x:c>
      <x:c r="H47" s="13" t="s">
        <x:v>7</x:v>
      </x:c>
      <x:c r="I47" s="11" t="s">
        <x:v>115</x:v>
      </x:c>
      <x:c r="J47" s="13" t="s">
        <x:v>29</x:v>
      </x:c>
      <x:c r="K47" s="15">
        <x:v>46246.41318125</x:v>
      </x:c>
    </x:row>
    <x:row r="48" ht="22.5" customHeight="1">
      <x:c r="A48" s="10">
        <x:v>46246.992610960646</x:v>
      </x:c>
      <x:c r="B48" s="11" t="s">
        <x:v>19</x:v>
      </x:c>
      <x:c r="C48" s="12">
        <x:v>6.28196091283E11</x:v>
      </x:c>
      <x:c r="D48" s="11" t="s">
        <x:v>108</x:v>
      </x:c>
      <x:c r="E48" s="11" t="s">
        <x:v>49</x:v>
      </x:c>
      <x:c r="F48" s="12">
        <x:v>50000.0</x:v>
      </x:c>
      <x:c r="G48" s="13" t="s">
        <x:v>27</x:v>
      </x:c>
      <x:c r="H48" s="13" t="s">
        <x:v>7</x:v>
      </x:c>
      <x:c r="I48" s="11" t="s">
        <x:v>116</x:v>
      </x:c>
      <x:c r="J48" s="13" t="s">
        <x:v>24</x:v>
      </x:c>
      <x:c r="K48" s="15"/>
    </x:row>
    <x:row r="49" ht="22.5" customHeight="1">
      <x:c r="A49" s="10">
        <x:v>46246.99301319444</x:v>
      </x:c>
      <x:c r="B49" s="11" t="s">
        <x:v>19</x:v>
      </x:c>
      <x:c r="C49" s="12">
        <x:v>6.28196091283E11</x:v>
      </x:c>
      <x:c r="D49" s="11" t="s">
        <x:v>117</x:v>
      </x:c>
      <x:c r="E49" s="11" t="s">
        <x:v>52</x:v>
      </x:c>
      <x:c r="F49" s="12">
        <x:v>50000.0</x:v>
      </x:c>
      <x:c r="G49" s="13" t="s">
        <x:v>27</x:v>
      </x:c>
      <x:c r="H49" s="13" t="s">
        <x:v>7</x:v>
      </x:c>
      <x:c r="I49" s="11" t="s">
        <x:v>118</x:v>
      </x:c>
      <x:c r="J49" s="13" t="s">
        <x:v>24</x:v>
      </x:c>
      <x:c r="K49" s="15"/>
    </x:row>
    <x:row r="50" ht="22.5" customHeight="1">
      <x:c r="A50" s="10">
        <x:v>46246.99383464121</x:v>
      </x:c>
      <x:c r="B50" s="11" t="s">
        <x:v>19</x:v>
      </x:c>
      <x:c r="C50" s="12">
        <x:v>6.28196091283E11</x:v>
      </x:c>
      <x:c r="D50" s="11" t="s">
        <x:v>44</x:v>
      </x:c>
      <x:c r="E50" s="11" t="s">
        <x:v>32</x:v>
      </x:c>
      <x:c r="F50" s="12">
        <x:v>68000.0</x:v>
      </x:c>
      <x:c r="G50" s="13" t="s">
        <x:v>27</x:v>
      </x:c>
      <x:c r="H50" s="13" t="s">
        <x:v>7</x:v>
      </x:c>
      <x:c r="I50" s="11" t="s">
        <x:v>119</x:v>
      </x:c>
      <x:c r="J50" s="13" t="s">
        <x:v>24</x:v>
      </x:c>
      <x:c r="K50" s="15"/>
    </x:row>
    <x:row r="51" ht="22.5" customHeight="1">
      <x:c r="A51" s="10">
        <x:v>46246.99414388889</x:v>
      </x:c>
      <x:c r="B51" s="11" t="s">
        <x:v>19</x:v>
      </x:c>
      <x:c r="C51" s="12">
        <x:v>6.28196091283E11</x:v>
      </x:c>
      <x:c r="D51" s="11" t="s">
        <x:v>120</x:v>
      </x:c>
      <x:c r="E51" s="11" t="s">
        <x:v>26</x:v>
      </x:c>
      <x:c r="F51" s="12">
        <x:v>50000.0</x:v>
      </x:c>
      <x:c r="G51" s="13" t="s">
        <x:v>27</x:v>
      </x:c>
      <x:c r="H51" s="13" t="s">
        <x:v>7</x:v>
      </x:c>
      <x:c r="I51" s="11" t="s">
        <x:v>121</x:v>
      </x:c>
      <x:c r="J51" s="13" t="s">
        <x:v>24</x:v>
      </x:c>
      <x:c r="K51" s="15"/>
    </x:row>
    <x:row r="52" ht="22.5" customHeight="1">
      <x:c r="A52" s="10">
        <x:v>46246.99433828704</x:v>
      </x:c>
      <x:c r="B52" s="11" t="s">
        <x:v>19</x:v>
      </x:c>
      <x:c r="C52" s="12">
        <x:v>6.28196091283E11</x:v>
      </x:c>
      <x:c r="D52" s="11" t="s">
        <x:v>60</x:v>
      </x:c>
      <x:c r="E52" s="11" t="s">
        <x:v>37</x:v>
      </x:c>
      <x:c r="F52" s="12">
        <x:v>60000.0</x:v>
      </x:c>
      <x:c r="G52" s="13" t="s">
        <x:v>22</x:v>
      </x:c>
      <x:c r="H52" s="13" t="s">
        <x:v>7</x:v>
      </x:c>
      <x:c r="I52" s="11" t="s">
        <x:v>122</x:v>
      </x:c>
      <x:c r="J52" s="13" t="s">
        <x:v>24</x:v>
      </x:c>
      <x:c r="K52" s="15"/>
    </x:row>
    <x:row r="53" ht="22.5" customHeight="1">
      <x:c r="A53" s="10">
        <x:v>46247.04259788194</x:v>
      </x:c>
      <x:c r="B53" s="11" t="s">
        <x:v>19</x:v>
      </x:c>
      <x:c r="C53" s="12">
        <x:v>6.39917877997E11</x:v>
      </x:c>
      <x:c r="D53" s="11" t="s">
        <x:v>123</x:v>
      </x:c>
      <x:c r="E53" s="11" t="s">
        <x:v>37</x:v>
      </x:c>
      <x:c r="F53" s="12">
        <x:v>160000.0</x:v>
      </x:c>
      <x:c r="G53" s="13" t="s">
        <x:v>22</x:v>
      </x:c>
      <x:c r="H53" s="13" t="s">
        <x:v>2</x:v>
      </x:c>
      <x:c r="I53" s="11" t="s">
        <x:v>124</x:v>
      </x:c>
      <x:c r="J53" s="13" t="s">
        <x:v>24</x:v>
      </x:c>
      <x:c r="K53" s="15"/>
    </x:row>
    <x:row r="54" ht="22.5" customHeight="1">
      <x:c r="A54" s="10">
        <x:v>46247.04269728009</x:v>
      </x:c>
      <x:c r="B54" s="11" t="s">
        <x:v>19</x:v>
      </x:c>
      <x:c r="C54" s="12">
        <x:v>6.39917877997E11</x:v>
      </x:c>
      <x:c r="D54" s="11" t="s">
        <x:v>125</x:v>
      </x:c>
      <x:c r="E54" s="11" t="s">
        <x:v>32</x:v>
      </x:c>
      <x:c r="F54" s="12">
        <x:v>140000.0</x:v>
      </x:c>
      <x:c r="G54" s="13" t="s">
        <x:v>27</x:v>
      </x:c>
      <x:c r="H54" s="13" t="s">
        <x:v>2</x:v>
      </x:c>
      <x:c r="I54" s="11" t="s">
        <x:v>126</x:v>
      </x:c>
      <x:c r="J54" s="13" t="s">
        <x:v>24</x:v>
      </x:c>
      <x:c r="K54" s="15"/>
    </x:row>
    <x:row r="55" ht="22.5" customHeight="1">
      <x:c r="A55" s="10">
        <x:v>46247.060988564815</x:v>
      </x:c>
      <x:c r="B55" s="11" t="s">
        <x:v>19</x:v>
      </x:c>
      <x:c r="C55" s="12">
        <x:v>6.39917877997E11</x:v>
      </x:c>
      <x:c r="D55" s="11" t="s">
        <x:v>127</x:v>
      </x:c>
      <x:c r="E55" s="11" t="s">
        <x:v>42</x:v>
      </x:c>
      <x:c r="F55" s="12">
        <x:v>40000.0</x:v>
      </x:c>
      <x:c r="G55" s="13" t="s">
        <x:v>27</x:v>
      </x:c>
      <x:c r="H55" s="13" t="s">
        <x:v>7</x:v>
      </x:c>
      <x:c r="I55" s="11" t="s">
        <x:v>128</x:v>
      </x:c>
      <x:c r="J55" s="13" t="s">
        <x:v>24</x:v>
      </x:c>
      <x:c r="K55" s="15"/>
    </x:row>
    <x:row r="56" ht="22.5" customHeight="1">
      <x:c r="A56" s="10">
        <x:v>46247.8235921875</x:v>
      </x:c>
      <x:c r="B56" s="11" t="s">
        <x:v>19</x:v>
      </x:c>
      <x:c r="C56" s="12">
        <x:v>6.39917877997E11</x:v>
      </x:c>
      <x:c r="D56" s="11" t="s">
        <x:v>129</x:v>
      </x:c>
      <x:c r="E56" s="11" t="s">
        <x:v>52</x:v>
      </x:c>
      <x:c r="F56" s="12">
        <x:v>11000.0</x:v>
      </x:c>
      <x:c r="G56" s="13" t="s">
        <x:v>27</x:v>
      </x:c>
      <x:c r="H56" s="13" t="s">
        <x:v>2</x:v>
      </x:c>
      <x:c r="I56" s="11" t="s">
        <x:v>130</x:v>
      </x:c>
      <x:c r="J56" s="13" t="s">
        <x:v>24</x:v>
      </x:c>
      <x:c r="K56" s="15"/>
    </x:row>
    <x:row r="57" ht="22.5" customHeight="1">
      <x:c r="A57" s="10">
        <x:v>46249.90556791666</x:v>
      </x:c>
      <x:c r="B57" s="11" t="s">
        <x:v>19</x:v>
      </x:c>
      <x:c r="C57" s="12">
        <x:v>6.39917877997E11</x:v>
      </x:c>
      <x:c r="D57" s="11" t="s">
        <x:v>131</x:v>
      </x:c>
      <x:c r="E57" s="11" t="s">
        <x:v>52</x:v>
      </x:c>
      <x:c r="F57" s="12">
        <x:v>25000.0</x:v>
      </x:c>
      <x:c r="G57" s="13" t="s">
        <x:v>27</x:v>
      </x:c>
      <x:c r="H57" s="13" t="s">
        <x:v>4</x:v>
      </x:c>
      <x:c r="I57" s="11" t="s">
        <x:v>132</x:v>
      </x:c>
      <x:c r="J57" s="13" t="s">
        <x:v>29</x:v>
      </x:c>
      <x:c r="K57" s="15">
        <x:v>46249.90598520833</x:v>
      </x:c>
    </x:row>
    <x:row r="58" ht="22.5" customHeight="1">
      <x:c r="A58" s="10">
        <x:v>46250.47998096065</x:v>
      </x:c>
      <x:c r="B58" s="11" t="s">
        <x:v>19</x:v>
      </x:c>
      <x:c r="C58" s="12">
        <x:v>6.39917877997E11</x:v>
      </x:c>
      <x:c r="D58" s="11" t="s">
        <x:v>133</x:v>
      </x:c>
      <x:c r="E58" s="11" t="s">
        <x:v>42</x:v>
      </x:c>
      <x:c r="F58" s="12">
        <x:v>35000.0</x:v>
      </x:c>
      <x:c r="G58" s="13" t="s">
        <x:v>27</x:v>
      </x:c>
      <x:c r="H58" s="13" t="s">
        <x:v>2</x:v>
      </x:c>
      <x:c r="I58" s="11" t="s">
        <x:v>134</x:v>
      </x:c>
      <x:c r="J58" s="13" t="s">
        <x:v>24</x:v>
      </x:c>
      <x:c r="K58" s="15"/>
    </x:row>
    <x:row r="59" ht="22.5" customHeight="1">
      <x:c r="A59" s="10">
        <x:v>46250.52590900463</x:v>
      </x:c>
      <x:c r="B59" s="11" t="s">
        <x:v>19</x:v>
      </x:c>
      <x:c r="C59" s="12">
        <x:v>6.39917877997E11</x:v>
      </x:c>
      <x:c r="D59" s="11" t="s">
        <x:v>135</x:v>
      </x:c>
      <x:c r="E59" s="11" t="s">
        <x:v>37</x:v>
      </x:c>
      <x:c r="F59" s="12">
        <x:v>300000.0</x:v>
      </x:c>
      <x:c r="G59" s="13" t="s">
        <x:v>22</x:v>
      </x:c>
      <x:c r="H59" s="13" t="s">
        <x:v>7</x:v>
      </x:c>
      <x:c r="I59" s="11" t="s">
        <x:v>136</x:v>
      </x:c>
      <x:c r="J59" s="13" t="s">
        <x:v>29</x:v>
      </x:c>
      <x:c r="K59" s="15">
        <x:v>46250.526009050925</x:v>
      </x:c>
    </x:row>
    <x:row r="60" ht="22.5" customHeight="1">
      <x:c r="A60" s="10">
        <x:v>46250.5261341088</x:v>
      </x:c>
      <x:c r="B60" s="11" t="s">
        <x:v>19</x:v>
      </x:c>
      <x:c r="C60" s="12">
        <x:v>6.39917877997E11</x:v>
      </x:c>
      <x:c r="D60" s="11" t="s">
        <x:v>137</x:v>
      </x:c>
      <x:c r="E60" s="11" t="s">
        <x:v>37</x:v>
      </x:c>
      <x:c r="F60" s="12">
        <x:v>300000.0</x:v>
      </x:c>
      <x:c r="G60" s="13" t="s">
        <x:v>22</x:v>
      </x:c>
      <x:c r="H60" s="13" t="s">
        <x:v>2</x:v>
      </x:c>
      <x:c r="I60" s="11" t="s">
        <x:v>138</x:v>
      </x:c>
      <x:c r="J60" s="13" t="s">
        <x:v>24</x:v>
      </x:c>
      <x:c r="K60" s="15"/>
    </x:row>
    <x:row r="61" ht="22.5" customHeight="1">
      <x:c r="A61" s="10">
        <x:v>46250.526308622684</x:v>
      </x:c>
      <x:c r="B61" s="11" t="s">
        <x:v>19</x:v>
      </x:c>
      <x:c r="C61" s="12">
        <x:v>6.39917877997E11</x:v>
      </x:c>
      <x:c r="D61" s="11" t="s">
        <x:v>139</x:v>
      </x:c>
      <x:c r="E61" s="11" t="s">
        <x:v>32</x:v>
      </x:c>
      <x:c r="F61" s="12">
        <x:v>280000.0</x:v>
      </x:c>
      <x:c r="G61" s="13" t="s">
        <x:v>27</x:v>
      </x:c>
      <x:c r="H61" s="13" t="s">
        <x:v>2</x:v>
      </x:c>
      <x:c r="I61" s="11" t="s">
        <x:v>140</x:v>
      </x:c>
      <x:c r="J61" s="13" t="s">
        <x:v>24</x:v>
      </x:c>
      <x:c r="K61" s="15"/>
    </x:row>
    <x:row r="62" ht="22.5" customHeight="1">
      <x:c r="A62" s="10">
        <x:v>46250.96037909722</x:v>
      </x:c>
      <x:c r="B62" s="11" t="s">
        <x:v>19</x:v>
      </x:c>
      <x:c r="C62" s="12">
        <x:v>6.28196091283E11</x:v>
      </x:c>
      <x:c r="D62" s="11" t="s">
        <x:v>141</x:v>
      </x:c>
      <x:c r="E62" s="11" t="s">
        <x:v>37</x:v>
      </x:c>
      <x:c r="F62" s="12">
        <x:v>60000.0</x:v>
      </x:c>
      <x:c r="G62" s="13" t="s">
        <x:v>22</x:v>
      </x:c>
      <x:c r="H62" s="13" t="s">
        <x:v>7</x:v>
      </x:c>
      <x:c r="I62" s="11" t="s">
        <x:v>142</x:v>
      </x:c>
      <x:c r="J62" s="13" t="s">
        <x:v>24</x:v>
      </x:c>
      <x:c r="K62" s="15"/>
    </x:row>
    <x:row r="63" ht="22.5" customHeight="1">
      <x:c r="A63" s="10">
        <x:v>46250.96066795139</x:v>
      </x:c>
      <x:c r="B63" s="11" t="s">
        <x:v>19</x:v>
      </x:c>
      <x:c r="C63" s="12">
        <x:v>6.28196091283E11</x:v>
      </x:c>
      <x:c r="D63" s="11" t="s">
        <x:v>143</x:v>
      </x:c>
      <x:c r="E63" s="11" t="s">
        <x:v>26</x:v>
      </x:c>
      <x:c r="F63" s="12">
        <x:v>70000.0</x:v>
      </x:c>
      <x:c r="G63" s="13" t="s">
        <x:v>27</x:v>
      </x:c>
      <x:c r="H63" s="13" t="s">
        <x:v>7</x:v>
      </x:c>
      <x:c r="I63" s="11" t="s">
        <x:v>144</x:v>
      </x:c>
      <x:c r="J63" s="13" t="s">
        <x:v>24</x:v>
      </x:c>
      <x:c r="K63" s="15"/>
    </x:row>
    <x:row r="64" ht="22.5" customHeight="1">
      <x:c r="A64" s="10">
        <x:v>46250.961095879626</x:v>
      </x:c>
      <x:c r="B64" s="11" t="s">
        <x:v>19</x:v>
      </x:c>
      <x:c r="C64" s="12">
        <x:v>6.28196091283E11</x:v>
      </x:c>
      <x:c r="D64" s="11" t="s">
        <x:v>145</x:v>
      </x:c>
      <x:c r="E64" s="11" t="s">
        <x:v>32</x:v>
      </x:c>
      <x:c r="F64" s="12">
        <x:v>10000.0</x:v>
      </x:c>
      <x:c r="G64" s="13" t="s">
        <x:v>27</x:v>
      </x:c>
      <x:c r="H64" s="13" t="s">
        <x:v>2</x:v>
      </x:c>
      <x:c r="I64" s="11" t="s">
        <x:v>146</x:v>
      </x:c>
      <x:c r="J64" s="13" t="s">
        <x:v>24</x:v>
      </x:c>
      <x:c r="K64" s="15"/>
    </x:row>
    <x:row r="65" ht="22.5" customHeight="1">
      <x:c r="A65" s="10">
        <x:v>46250.96145043982</x:v>
      </x:c>
      <x:c r="B65" s="11" t="s">
        <x:v>19</x:v>
      </x:c>
      <x:c r="C65" s="12">
        <x:v>6.28196091283E11</x:v>
      </x:c>
      <x:c r="D65" s="11" t="s">
        <x:v>147</x:v>
      </x:c>
      <x:c r="E65" s="11" t="s">
        <x:v>52</x:v>
      </x:c>
      <x:c r="F65" s="12">
        <x:v>10000.0</x:v>
      </x:c>
      <x:c r="G65" s="13" t="s">
        <x:v>27</x:v>
      </x:c>
      <x:c r="H65" s="13" t="s">
        <x:v>2</x:v>
      </x:c>
      <x:c r="I65" s="11" t="s">
        <x:v>148</x:v>
      </x:c>
      <x:c r="J65" s="13" t="s">
        <x:v>24</x:v>
      </x:c>
      <x:c r="K65" s="15"/>
    </x:row>
    <x:row r="66" ht="22.5" customHeight="1">
      <x:c r="A66" s="10">
        <x:v>46250.961825439816</x:v>
      </x:c>
      <x:c r="B66" s="11" t="s">
        <x:v>19</x:v>
      </x:c>
      <x:c r="C66" s="12">
        <x:v>6.28196091283E11</x:v>
      </x:c>
      <x:c r="D66" s="11" t="s">
        <x:v>149</x:v>
      </x:c>
      <x:c r="E66" s="11" t="s">
        <x:v>32</x:v>
      </x:c>
      <x:c r="F66" s="12">
        <x:v>12000.0</x:v>
      </x:c>
      <x:c r="G66" s="13" t="s">
        <x:v>27</x:v>
      </x:c>
      <x:c r="H66" s="13" t="s">
        <x:v>7</x:v>
      </x:c>
      <x:c r="I66" s="11" t="s">
        <x:v>150</x:v>
      </x:c>
      <x:c r="J66" s="13" t="s">
        <x:v>24</x:v>
      </x:c>
      <x:c r="K66" s="15"/>
    </x:row>
    <x:row r="67" ht="22.5" customHeight="1">
      <x:c r="A67" s="10">
        <x:v>46250.96198736111</x:v>
      </x:c>
      <x:c r="B67" s="11" t="s">
        <x:v>19</x:v>
      </x:c>
      <x:c r="C67" s="12">
        <x:v>6.28196091283E11</x:v>
      </x:c>
      <x:c r="D67" s="11" t="s">
        <x:v>151</x:v>
      </x:c>
      <x:c r="E67" s="11" t="s">
        <x:v>37</x:v>
      </x:c>
      <x:c r="F67" s="12">
        <x:v>100000.0</x:v>
      </x:c>
      <x:c r="G67" s="13" t="s">
        <x:v>22</x:v>
      </x:c>
      <x:c r="H67" s="13" t="s">
        <x:v>7</x:v>
      </x:c>
      <x:c r="I67" s="11" t="s">
        <x:v>152</x:v>
      </x:c>
      <x:c r="J67" s="13" t="s">
        <x:v>24</x:v>
      </x:c>
      <x:c r="K67" s="15"/>
    </x:row>
    <x:row r="68" ht="22.5" customHeight="1">
      <x:c r="A68" s="10">
        <x:v>46250.962206909724</x:v>
      </x:c>
      <x:c r="B68" s="11" t="s">
        <x:v>19</x:v>
      </x:c>
      <x:c r="C68" s="12">
        <x:v>6.28196091283E11</x:v>
      </x:c>
      <x:c r="D68" s="11" t="s">
        <x:v>153</x:v>
      </x:c>
      <x:c r="E68" s="11" t="s">
        <x:v>26</x:v>
      </x:c>
      <x:c r="F68" s="12">
        <x:v>60000.0</x:v>
      </x:c>
      <x:c r="G68" s="13" t="s">
        <x:v>27</x:v>
      </x:c>
      <x:c r="H68" s="13" t="s">
        <x:v>7</x:v>
      </x:c>
      <x:c r="I68" s="11" t="s">
        <x:v>154</x:v>
      </x:c>
      <x:c r="J68" s="13" t="s">
        <x:v>24</x:v>
      </x:c>
      <x:c r="K68" s="15"/>
    </x:row>
    <x:row r="69" ht="22.5" customHeight="1">
      <x:c r="A69" s="10">
        <x:v>46250.962463715274</x:v>
      </x:c>
      <x:c r="B69" s="11" t="s">
        <x:v>19</x:v>
      </x:c>
      <x:c r="C69" s="12">
        <x:v>6.28196091283E11</x:v>
      </x:c>
      <x:c r="D69" s="11" t="s">
        <x:v>155</x:v>
      </x:c>
      <x:c r="E69" s="11" t="s">
        <x:v>32</x:v>
      </x:c>
      <x:c r="F69" s="12">
        <x:v>44000.0</x:v>
      </x:c>
      <x:c r="G69" s="13" t="s">
        <x:v>27</x:v>
      </x:c>
      <x:c r="H69" s="13" t="s">
        <x:v>7</x:v>
      </x:c>
      <x:c r="I69" s="11" t="s">
        <x:v>156</x:v>
      </x:c>
      <x:c r="J69" s="13" t="s">
        <x:v>24</x:v>
      </x:c>
      <x:c r="K69" s="15"/>
    </x:row>
    <x:row r="70" ht="22.5" customHeight="1">
      <x:c r="A70" s="10">
        <x:v>46251.385269652776</x:v>
      </x:c>
      <x:c r="B70" s="11" t="s">
        <x:v>19</x:v>
      </x:c>
      <x:c r="C70" s="12">
        <x:v>6.28196091283E11</x:v>
      </x:c>
      <x:c r="D70" s="11" t="s">
        <x:v>80</x:v>
      </x:c>
      <x:c r="E70" s="11" t="s">
        <x:v>52</x:v>
      </x:c>
      <x:c r="F70" s="12">
        <x:v>10000.0</x:v>
      </x:c>
      <x:c r="G70" s="13" t="s">
        <x:v>27</x:v>
      </x:c>
      <x:c r="H70" s="13" t="s">
        <x:v>7</x:v>
      </x:c>
      <x:c r="I70" s="11" t="s">
        <x:v>157</x:v>
      </x:c>
      <x:c r="J70" s="13" t="s">
        <x:v>24</x:v>
      </x:c>
      <x:c r="K70" s="15"/>
    </x:row>
    <x:row r="71" ht="22.5" customHeight="1">
      <x:c r="A71" s="10">
        <x:v>46251.385491608795</x:v>
      </x:c>
      <x:c r="B71" s="11" t="s">
        <x:v>19</x:v>
      </x:c>
      <x:c r="C71" s="12">
        <x:v>6.28196091283E11</x:v>
      </x:c>
      <x:c r="D71" s="11" t="s">
        <x:v>158</x:v>
      </x:c>
      <x:c r="E71" s="11" t="s">
        <x:v>37</x:v>
      </x:c>
      <x:c r="F71" s="12">
        <x:v>66000.0</x:v>
      </x:c>
      <x:c r="G71" s="13" t="s">
        <x:v>22</x:v>
      </x:c>
      <x:c r="H71" s="13" t="s">
        <x:v>2</x:v>
      </x:c>
      <x:c r="I71" s="11" t="s">
        <x:v>159</x:v>
      </x:c>
      <x:c r="J71" s="13" t="s">
        <x:v>24</x:v>
      </x:c>
      <x:c r="K71" s="15"/>
    </x:row>
    <x:row r="72" ht="22.5" customHeight="1">
      <x:c r="A72" s="10">
        <x:v>46251.385807280094</x:v>
      </x:c>
      <x:c r="B72" s="11" t="s">
        <x:v>19</x:v>
      </x:c>
      <x:c r="C72" s="12">
        <x:v>6.28196091283E11</x:v>
      </x:c>
      <x:c r="D72" s="11" t="s">
        <x:v>160</x:v>
      </x:c>
      <x:c r="E72" s="11" t="s">
        <x:v>32</x:v>
      </x:c>
      <x:c r="F72" s="12">
        <x:v>50000.0</x:v>
      </x:c>
      <x:c r="G72" s="13" t="s">
        <x:v>27</x:v>
      </x:c>
      <x:c r="H72" s="13" t="s">
        <x:v>2</x:v>
      </x:c>
      <x:c r="I72" s="11" t="s">
        <x:v>161</x:v>
      </x:c>
      <x:c r="J72" s="13" t="s">
        <x:v>24</x:v>
      </x:c>
      <x:c r="K72" s="15"/>
    </x:row>
    <x:row r="73" ht="22.5" customHeight="1">
      <x:c r="A73" s="10">
        <x:v>46252.51695888889</x:v>
      </x:c>
      <x:c r="B73" s="11" t="s">
        <x:v>19</x:v>
      </x:c>
      <x:c r="C73" s="12">
        <x:v>6.39917877997E11</x:v>
      </x:c>
      <x:c r="D73" s="11" t="s">
        <x:v>162</x:v>
      </x:c>
      <x:c r="E73" s="11" t="s">
        <x:v>37</x:v>
      </x:c>
      <x:c r="F73" s="12">
        <x:v>373940.0</x:v>
      </x:c>
      <x:c r="G73" s="13" t="s">
        <x:v>22</x:v>
      </x:c>
      <x:c r="H73" s="13" t="s">
        <x:v>5</x:v>
      </x:c>
      <x:c r="I73" s="11" t="s">
        <x:v>163</x:v>
      </x:c>
      <x:c r="J73" s="13" t="s">
        <x:v>29</x:v>
      </x:c>
      <x:c r="K73" s="15">
        <x:v>46252.517236643514</x:v>
      </x:c>
    </x:row>
    <x:row r="74" ht="22.5" customHeight="1">
      <x:c r="A74" s="10">
        <x:v>46252.51738207176</x:v>
      </x:c>
      <x:c r="B74" s="11" t="s">
        <x:v>19</x:v>
      </x:c>
      <x:c r="C74" s="12">
        <x:v>6.39917877997E11</x:v>
      </x:c>
      <x:c r="D74" s="11" t="s">
        <x:v>164</x:v>
      </x:c>
      <x:c r="E74" s="11" t="s">
        <x:v>37</x:v>
      </x:c>
      <x:c r="F74" s="12">
        <x:v>373840.0</x:v>
      </x:c>
      <x:c r="G74" s="13" t="s">
        <x:v>22</x:v>
      </x:c>
      <x:c r="H74" s="13" t="s">
        <x:v>5</x:v>
      </x:c>
      <x:c r="I74" s="11" t="s">
        <x:v>165</x:v>
      </x:c>
      <x:c r="J74" s="13" t="s">
        <x:v>24</x:v>
      </x:c>
      <x:c r="K74" s="15"/>
    </x:row>
    <x:row r="75" ht="22.5" customHeight="1">
      <x:c r="A75" s="10">
        <x:v>46252.52356068287</x:v>
      </x:c>
      <x:c r="B75" s="11" t="s">
        <x:v>19</x:v>
      </x:c>
      <x:c r="C75" s="12">
        <x:v>6.39917877997E11</x:v>
      </x:c>
      <x:c r="D75" s="11" t="s">
        <x:v>166</x:v>
      </x:c>
      <x:c r="E75" s="11" t="s">
        <x:v>32</x:v>
      </x:c>
      <x:c r="F75" s="12">
        <x:v>190182.0</x:v>
      </x:c>
      <x:c r="G75" s="13" t="s">
        <x:v>27</x:v>
      </x:c>
      <x:c r="H75" s="13" t="s">
        <x:v>7</x:v>
      </x:c>
      <x:c r="I75" s="11" t="s">
        <x:v>167</x:v>
      </x:c>
      <x:c r="J75" s="13" t="s">
        <x:v>29</x:v>
      </x:c>
      <x:c r="K75" s="15">
        <x:v>46252.52374640046</x:v>
      </x:c>
    </x:row>
    <x:row r="76" ht="22.5" customHeight="1">
      <x:c r="A76" s="10">
        <x:v>46252.52396710648</x:v>
      </x:c>
      <x:c r="B76" s="11" t="s">
        <x:v>19</x:v>
      </x:c>
      <x:c r="C76" s="12">
        <x:v>6.39917877997E11</x:v>
      </x:c>
      <x:c r="D76" s="11" t="s">
        <x:v>168</x:v>
      </x:c>
      <x:c r="E76" s="11" t="s">
        <x:v>32</x:v>
      </x:c>
      <x:c r="F76" s="12">
        <x:v>190182.0</x:v>
      </x:c>
      <x:c r="G76" s="13" t="s">
        <x:v>27</x:v>
      </x:c>
      <x:c r="H76" s="13" t="s">
        <x:v>5</x:v>
      </x:c>
      <x:c r="I76" s="11" t="s">
        <x:v>169</x:v>
      </x:c>
      <x:c r="J76" s="13" t="s">
        <x:v>24</x:v>
      </x:c>
      <x:c r="K76" s="15"/>
    </x:row>
    <x:row r="77" ht="22.5" customHeight="1">
      <x:c r="A77" s="10">
        <x:v>46253.33223398148</x:v>
      </x:c>
      <x:c r="B77" s="11" t="s">
        <x:v>19</x:v>
      </x:c>
      <x:c r="C77" s="12">
        <x:v>6.28196091283E11</x:v>
      </x:c>
      <x:c r="D77" s="11" t="s">
        <x:v>170</x:v>
      </x:c>
      <x:c r="E77" s="11" t="s">
        <x:v>26</x:v>
      </x:c>
      <x:c r="F77" s="12">
        <x:v>40000.0</x:v>
      </x:c>
      <x:c r="G77" s="13" t="s">
        <x:v>27</x:v>
      </x:c>
      <x:c r="H77" s="13" t="s">
        <x:v>7</x:v>
      </x:c>
      <x:c r="I77" s="11" t="s">
        <x:v>171</x:v>
      </x:c>
      <x:c r="J77" s="13" t="s">
        <x:v>24</x:v>
      </x:c>
      <x:c r="K77" s="15"/>
    </x:row>
    <x:row r="78" ht="22.5" customHeight="1">
      <x:c r="A78" s="10">
        <x:v>46253.33235857639</x:v>
      </x:c>
      <x:c r="B78" s="11" t="s">
        <x:v>19</x:v>
      </x:c>
      <x:c r="C78" s="12">
        <x:v>6.28196091283E11</x:v>
      </x:c>
      <x:c r="D78" s="11" t="s">
        <x:v>151</x:v>
      </x:c>
      <x:c r="E78" s="11" t="s">
        <x:v>37</x:v>
      </x:c>
      <x:c r="F78" s="12">
        <x:v>100000.0</x:v>
      </x:c>
      <x:c r="G78" s="13" t="s">
        <x:v>22</x:v>
      </x:c>
      <x:c r="H78" s="13" t="s">
        <x:v>7</x:v>
      </x:c>
      <x:c r="I78" s="11" t="s">
        <x:v>172</x:v>
      </x:c>
      <x:c r="J78" s="13" t="s">
        <x:v>24</x:v>
      </x:c>
      <x:c r="K78" s="15"/>
    </x:row>
    <x:row r="79" ht="22.5" customHeight="1">
      <x:c r="A79" s="10">
        <x:v>46253.33263243055</x:v>
      </x:c>
      <x:c r="B79" s="11" t="s">
        <x:v>19</x:v>
      </x:c>
      <x:c r="C79" s="12">
        <x:v>6.28196091283E11</x:v>
      </x:c>
      <x:c r="D79" s="11" t="s">
        <x:v>173</x:v>
      </x:c>
      <x:c r="E79" s="11" t="s">
        <x:v>49</x:v>
      </x:c>
      <x:c r="F79" s="12">
        <x:v>40000.0</x:v>
      </x:c>
      <x:c r="G79" s="13" t="s">
        <x:v>27</x:v>
      </x:c>
      <x:c r="H79" s="13" t="s">
        <x:v>7</x:v>
      </x:c>
      <x:c r="I79" s="11" t="s">
        <x:v>174</x:v>
      </x:c>
      <x:c r="J79" s="13" t="s">
        <x:v>24</x:v>
      </x:c>
      <x:c r="K79" s="15"/>
    </x:row>
    <x:row r="80" ht="22.5" customHeight="1">
      <x:c r="A80" s="10">
        <x:v>46253.33274873842</x:v>
      </x:c>
      <x:c r="B80" s="11" t="s">
        <x:v>19</x:v>
      </x:c>
      <x:c r="C80" s="12">
        <x:v>6.28196091283E11</x:v>
      </x:c>
      <x:c r="D80" s="11" t="s">
        <x:v>175</x:v>
      </x:c>
      <x:c r="E80" s="11" t="s">
        <x:v>52</x:v>
      </x:c>
      <x:c r="F80" s="12">
        <x:v>10000.0</x:v>
      </x:c>
      <x:c r="G80" s="13" t="s">
        <x:v>27</x:v>
      </x:c>
      <x:c r="H80" s="13" t="s">
        <x:v>7</x:v>
      </x:c>
      <x:c r="I80" s="11" t="s">
        <x:v>176</x:v>
      </x:c>
      <x:c r="J80" s="13" t="s">
        <x:v>24</x:v>
      </x:c>
      <x:c r="K80" s="15"/>
    </x:row>
  </x:sheetData>
  <x:dataValidations count="5">
    <x:dataValidation type="list" allowBlank="1" showDropDown="1" showErrorMessage="1" sqref="J2:J80">
      <x:formula1>"Tersimpan,Dibatalkan"</x:formula1>
    </x:dataValidation>
    <x:dataValidation type="list" allowBlank="1" showDropDown="1" showErrorMessage="1" sqref="H2:H80">
      <x:formula1>"BCA,Cash"</x:formula1>
    </x:dataValidation>
    <x:dataValidation type="custom" allowBlank="1" showDropDown="1" sqref="A2:A80">
      <x:formula1>OR(NOT(ISERROR(DATEVALUE(A2))), AND(ISNUMBER(A2), LEFT(CELL("format", A2))="D"))</x:formula1>
    </x:dataValidation>
    <x:dataValidation type="custom" allowBlank="1" showDropDown="1" sqref="C2:C80 F2:F80">
      <x:formula1>AND(ISNUMBER(C2),(NOT(OR(NOT(ISERROR(DATEVALUE(C2))), AND(ISNUMBER(C2), LEFT(CELL("format", C2))="D")))))</x:formula1>
    </x:dataValidation>
    <x:dataValidation type="list" allowBlank="1" showDropDown="1" showErrorMessage="1" sqref="G2:G80">
      <x:formula1>"Masuk,Keluar"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82ed52ec2b42ea"/>
  </x:tableParts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0</x:v>
      </x:c>
      <x:c r="I1" s="1" t="s">
        <x:v>16</x:v>
      </x:c>
      <x:c r="J1" s="1" t="s">
        <x:v>17</x:v>
      </x:c>
      <x:c r="K1" s="1" t="s">
        <x:v>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3">
        <x:v>0.0</x:v>
      </x:c>
    </x:row>
    <x:row r="3">
      <x:c r="A3" s="2" t="s">
        <x:v>3</x:v>
      </x:c>
      <x:c r="B3" s="3">
        <x:v>0.0</x:v>
      </x:c>
    </x:row>
    <x:row r="4">
      <x:c r="A4" s="2" t="s">
        <x:v>4</x:v>
      </x:c>
      <x:c r="B4" s="3">
        <x:v>0.0</x:v>
      </x:c>
    </x:row>
    <x:row r="5">
      <x:c r="A5" s="2" t="s">
        <x:v>5</x:v>
      </x:c>
      <x:c r="B5" s="3">
        <x:v>0.0</x:v>
      </x:c>
    </x:row>
    <x:row r="6">
      <x:c r="A6" s="2" t="s">
        <x:v>6</x:v>
      </x:c>
      <x:c r="B6" s="3">
        <x:v>0.0</x:v>
      </x:c>
    </x:row>
    <x:row r="7">
      <x:c r="A7" s="2" t="s">
        <x:v>7</x:v>
      </x:c>
      <x:c r="B7" s="3">
        <x:v>0.0</x:v>
      </x:c>
    </x:row>
  </x:sheetData>
  <x:pageMargins left="0.7" right="0.7" top="0.75" bottom="0.75" header="0.3" footer="0.3"/>
</x:worksheet>
</file>